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<sst xmlns="http://schemas.openxmlformats.org/spreadsheetml/2006/main" count="395" uniqueCount="299">
  <si>
    <t>分组</t>
  </si>
  <si>
    <t>志愿编号</t>
  </si>
  <si>
    <t>院校</t>
  </si>
  <si>
    <t>软科</t>
  </si>
  <si>
    <t>代码</t>
  </si>
  <si>
    <t>专业组</t>
  </si>
  <si>
    <t>等位分</t>
  </si>
  <si>
    <t>参考</t>
  </si>
  <si>
    <t>人数</t>
  </si>
  <si>
    <t>地区</t>
  </si>
  <si>
    <t>是否接受调剂</t>
  </si>
  <si>
    <t>目标专业</t>
  </si>
  <si>
    <t>可能调剂专业</t>
  </si>
  <si>
    <t>预测录取概率</t>
  </si>
  <si>
    <t>预测此位已录取概率</t>
  </si>
  <si>
    <t>预测截至此位录取期望</t>
  </si>
  <si>
    <t>保守录取概率</t>
  </si>
  <si>
    <t>保守此位已录取概率</t>
  </si>
  <si>
    <t>保守截至此位录取期望</t>
  </si>
  <si>
    <t>极端录取概率</t>
  </si>
  <si>
    <t>极端此位已录取概率</t>
  </si>
  <si>
    <t>极端截至此位录取期望</t>
  </si>
  <si>
    <t>第一梯 极低概率（630+）
0至1‰</t>
  </si>
  <si>
    <t>复旦大学</t>
  </si>
  <si>
    <t>上海</t>
  </si>
  <si>
    <t>是</t>
  </si>
  <si>
    <t>011理科试验班（682）</t>
  </si>
  <si>
    <t>002工科试验班（681）</t>
  </si>
  <si>
    <t>016生物科学类（679）</t>
  </si>
  <si>
    <t>001经济管理试验班（675）</t>
  </si>
  <si>
    <t>013数学类（647）</t>
  </si>
  <si>
    <t>014物理学类（673）</t>
  </si>
  <si>
    <t>003、004、005、006、007、008、009、
010、012、015、017、018、019、020</t>
  </si>
  <si>
    <t>中国科学技术
大学</t>
  </si>
  <si>
    <t>安徽</t>
  </si>
  <si>
    <t>010生物科学类（无）</t>
  </si>
  <si>
    <t>007数学类（671）</t>
  </si>
  <si>
    <t>001工科试验班（671）</t>
  </si>
  <si>
    <t>008物理学类（670）</t>
  </si>
  <si>
    <t>002工科试验班（670）</t>
  </si>
  <si>
    <t>空</t>
  </si>
  <si>
    <t>003、005、009、011、012</t>
  </si>
  <si>
    <t>华中科技大学</t>
  </si>
  <si>
    <t>湖北</t>
  </si>
  <si>
    <t>002数学类（无）</t>
  </si>
  <si>
    <t>011光电信息科学与工程（660）</t>
  </si>
  <si>
    <t>008电子信息类（656）</t>
  </si>
  <si>
    <t>004机械类（656）</t>
  </si>
  <si>
    <t>003物理学类（656）</t>
  </si>
  <si>
    <t>001数字经济（656）</t>
  </si>
  <si>
    <t>005、006、007、009、010、012、013、
014、015、016、017</t>
  </si>
  <si>
    <t>山东大学</t>
  </si>
  <si>
    <t>山东</t>
  </si>
  <si>
    <t>001数学类（646）</t>
  </si>
  <si>
    <t>002物理学类（634）</t>
  </si>
  <si>
    <t>005工程力学（632）</t>
  </si>
  <si>
    <t>003化学类（630）</t>
  </si>
  <si>
    <t>004生物科学类（630）</t>
  </si>
  <si>
    <t>无</t>
  </si>
  <si>
    <t>重庆大学</t>
  </si>
  <si>
    <t>重庆</t>
  </si>
  <si>
    <t>007电气工程及其自动化（642）</t>
  </si>
  <si>
    <t>006理科试验班（628）</t>
  </si>
  <si>
    <t>001、002、003、004、005</t>
  </si>
  <si>
    <t>第二梯
低概率
（615+）
1‰至5%</t>
  </si>
  <si>
    <t>厦门大学</t>
  </si>
  <si>
    <t>福建</t>
  </si>
  <si>
    <t>003法学（638）</t>
  </si>
  <si>
    <t>007会计学（638）</t>
  </si>
  <si>
    <t>002金融工程（634）</t>
  </si>
  <si>
    <t>001经济学类（631）</t>
  </si>
  <si>
    <t>006工商管理类（630）</t>
  </si>
  <si>
    <t>005管理科学与工程类（630）</t>
  </si>
  <si>
    <t>004建筑类</t>
  </si>
  <si>
    <t>中山大学</t>
  </si>
  <si>
    <t>广东</t>
  </si>
  <si>
    <t>008数学类（650）</t>
  </si>
  <si>
    <t>009物理学类（642）</t>
  </si>
  <si>
    <t>017核工程与核技术（601）</t>
  </si>
  <si>
    <t>若017未录则不可能</t>
  </si>
  <si>
    <t>上海财经大学</t>
  </si>
  <si>
    <t>013统计学类（634）</t>
  </si>
  <si>
    <t>012数学类（630）</t>
  </si>
  <si>
    <t>015数据科学与大数据技术（629）</t>
  </si>
  <si>
    <t>014人工智能</t>
  </si>
  <si>
    <t>中南大学</t>
  </si>
  <si>
    <t>湖南</t>
  </si>
  <si>
    <t>005自动化类（636）</t>
  </si>
  <si>
    <t>001数学类（631）</t>
  </si>
  <si>
    <t>002生物科学（626）</t>
  </si>
  <si>
    <t>004材料类、007化学与制药类</t>
  </si>
  <si>
    <t>中央财经大学</t>
  </si>
  <si>
    <t>北京</t>
  </si>
  <si>
    <t>001金融学类（无）</t>
  </si>
  <si>
    <t>006金融学（630）</t>
  </si>
  <si>
    <t>009大数据管理与应用（629）</t>
  </si>
  <si>
    <t>002经济学类（628）</t>
  </si>
  <si>
    <t>005金融学类（624）</t>
  </si>
  <si>
    <t>008精算学（623）</t>
  </si>
  <si>
    <t>003财政学类、004税收学、007投资学、
010工商管理类</t>
  </si>
  <si>
    <t>兰州大学</t>
  </si>
  <si>
    <t>甘肃</t>
  </si>
  <si>
    <t>006数学与应用数学（无）A-</t>
  </si>
  <si>
    <t>西北农林科技
大学</t>
  </si>
  <si>
    <t>陕西</t>
  </si>
  <si>
    <t>008光电信息科学与工程（无）C</t>
  </si>
  <si>
    <t>007电子信息工程（613）B-</t>
  </si>
  <si>
    <t>006数学与应用数学（611）/</t>
  </si>
  <si>
    <t>009计算机类</t>
  </si>
  <si>
    <t>002物理学（无）A-</t>
  </si>
  <si>
    <t>003应用物理学（623）C+</t>
  </si>
  <si>
    <t>001数学与应用数学（625）A-</t>
  </si>
  <si>
    <t>005理论与应用力学（609）/</t>
  </si>
  <si>
    <t>004大气科学、006计算机科学与技术</t>
  </si>
  <si>
    <t>北京化工大学</t>
  </si>
  <si>
    <t>002工科试验班（无）</t>
  </si>
  <si>
    <t>006数字经济（无）</t>
  </si>
  <si>
    <t>005理科试验班（无）</t>
  </si>
  <si>
    <t>004理科试验班（无）</t>
  </si>
  <si>
    <t>003理科试验班（无）</t>
  </si>
  <si>
    <t>001工科试验班、007自动化类</t>
  </si>
  <si>
    <t>010生物科学（无）B+</t>
  </si>
  <si>
    <t>第三梯
较低概率
（600+）
5%至20%</t>
  </si>
  <si>
    <t>上海外国语大学</t>
  </si>
  <si>
    <t>012数据科学与大数据技术（无）/</t>
  </si>
  <si>
    <t>002经济学（无）B+</t>
  </si>
  <si>
    <t>001经济学类（608）B+</t>
  </si>
  <si>
    <t>003金融学（607）B</t>
  </si>
  <si>
    <t>004工商管理类、005工商管理类</t>
  </si>
  <si>
    <t>华北电力大学
（保定）</t>
  </si>
  <si>
    <t>河北</t>
  </si>
  <si>
    <t>005储能科学与工程（614）B</t>
  </si>
  <si>
    <t>001应用物理学（607）B</t>
  </si>
  <si>
    <t>003机械工程（607）B</t>
  </si>
  <si>
    <t>004能源与动力工程、006氢能科学与工程、
002应用化学、007环境工程</t>
  </si>
  <si>
    <t>南昌大学</t>
  </si>
  <si>
    <t>江西</t>
  </si>
  <si>
    <t>001电气工程及其自动化（615）B</t>
  </si>
  <si>
    <t>002电子信息工程（607）B+</t>
  </si>
  <si>
    <t>003自动化（606）B</t>
  </si>
  <si>
    <t>004计算机科学与技术</t>
  </si>
  <si>
    <t>武汉理工大学</t>
  </si>
  <si>
    <t>014光电信息科学与工程（无）B+</t>
  </si>
  <si>
    <t>011电子信息类（622）A</t>
  </si>
  <si>
    <t>012电子信息类（618）A</t>
  </si>
  <si>
    <t>005机械类（614）B+</t>
  </si>
  <si>
    <t>004数学类（613）</t>
  </si>
  <si>
    <t>003数字经济（607）</t>
  </si>
  <si>
    <t>019道路桥梁与渡河工程、021化工与制药类
027物流工程</t>
  </si>
  <si>
    <t>001人工智能（无）/</t>
  </si>
  <si>
    <t>002机器人工程（无）/</t>
  </si>
  <si>
    <t>长安大学</t>
  </si>
  <si>
    <t>004自动化类（610）A-</t>
  </si>
  <si>
    <t>001工科试验班（609）/</t>
  </si>
  <si>
    <t>002数学类（无）B-</t>
  </si>
  <si>
    <t>003应用物理学（603）C-</t>
  </si>
  <si>
    <t>中国石油大学
（北京）</t>
  </si>
  <si>
    <t>001数学与应用数学（616）B</t>
  </si>
  <si>
    <t>008自动化（612）B-</t>
  </si>
  <si>
    <t>002机械类（610）A-</t>
  </si>
  <si>
    <t>004、005、010、011、012、
013、015、016、017、018</t>
  </si>
  <si>
    <t>暨南大学</t>
  </si>
  <si>
    <t>002光电信息科学与工程（604）A-</t>
  </si>
  <si>
    <t>005低空技术与工程（无）/</t>
  </si>
  <si>
    <t>001应用物理学（无）B+</t>
  </si>
  <si>
    <t>003计算机科学与技术、004工业工程</t>
  </si>
  <si>
    <t>安徽大学</t>
  </si>
  <si>
    <t>010光电信息科学与工程（604）B</t>
  </si>
  <si>
    <t>014物联网工程（602）A</t>
  </si>
  <si>
    <t>016生物工程（无）B</t>
  </si>
  <si>
    <t>006互联网金融（601）/</t>
  </si>
  <si>
    <t>007统计学、008材料物理、011人工智能、
013计算机科学与技术</t>
  </si>
  <si>
    <t>中国传媒大学</t>
  </si>
  <si>
    <t>002大数据管理与应用（610）/</t>
  </si>
  <si>
    <t>001数字经济（601）A-</t>
  </si>
  <si>
    <t>002自动化（603）C</t>
  </si>
  <si>
    <t>001智能感知工程（无）/</t>
  </si>
  <si>
    <t>中国石油大学
（华东）</t>
  </si>
  <si>
    <t>001会计学（无）/</t>
  </si>
  <si>
    <t>郑州大学</t>
  </si>
  <si>
    <t>河南</t>
  </si>
  <si>
    <t>005数学类（602）B+</t>
  </si>
  <si>
    <t>006物理学类（无）A-</t>
  </si>
  <si>
    <t>008生物信息学（无）C+</t>
  </si>
  <si>
    <t>007化学类</t>
  </si>
  <si>
    <t>中南财经政法
大学</t>
  </si>
  <si>
    <t>015国际法（无）/</t>
  </si>
  <si>
    <t>003经济统计学（609）B+</t>
  </si>
  <si>
    <t>002经济学（603）A</t>
  </si>
  <si>
    <t>014法学类（603）A+</t>
  </si>
  <si>
    <t>007金融学类（602）A</t>
  </si>
  <si>
    <t>005数字经济（599）A-</t>
  </si>
  <si>
    <t>012国际经济与贸易、001人文科学试验班、016
会计学、010金融数学、013国际经济与贸易、004
数字经济、008金融工程、006财政学类、010精算学</t>
  </si>
  <si>
    <t>第四梯
中概率
（596+）
20%至55%</t>
  </si>
  <si>
    <t>中国矿业大学</t>
  </si>
  <si>
    <t>江苏</t>
  </si>
  <si>
    <t>013电气工程及其自动化（620）A-</t>
  </si>
  <si>
    <t>014电子信息工程（616）A</t>
  </si>
  <si>
    <t>016自动化（607）B</t>
  </si>
  <si>
    <t>007物理学类（600）B</t>
  </si>
  <si>
    <t>006数学类（599）B+</t>
  </si>
  <si>
    <t>020遥感科学与技术（599）/</t>
  </si>
  <si>
    <t>010工业设计、021矿业类、024安全科学与工程类</t>
  </si>
  <si>
    <t>北京林业大学</t>
  </si>
  <si>
    <t>007电气工程及其自动化（610）/</t>
  </si>
  <si>
    <t>006机械设计制造及其自动化（609）
B+</t>
  </si>
  <si>
    <t>008电子信息科学与技术（609）/</t>
  </si>
  <si>
    <t>005数学与应用数学（无）C</t>
  </si>
  <si>
    <t>009人工智能、010计算机类</t>
  </si>
  <si>
    <t>006生物技术（无）C+</t>
  </si>
  <si>
    <t>007生物技术（597）C+</t>
  </si>
  <si>
    <t>004生物科学（596）B+</t>
  </si>
  <si>
    <t>003生物科学类（596）</t>
  </si>
  <si>
    <t>005生物科学</t>
  </si>
  <si>
    <t>002经济统计学（610）A-</t>
  </si>
  <si>
    <t>004金融工程（602）B</t>
  </si>
  <si>
    <t>001经济学（601）A-</t>
  </si>
  <si>
    <t>003财政学（598）C+</t>
  </si>
  <si>
    <t>005网络与新媒体</t>
  </si>
  <si>
    <t>011园林（597）A-</t>
  </si>
  <si>
    <t>西南大学</t>
  </si>
  <si>
    <t>012电气工程及其自动化（612）B</t>
  </si>
  <si>
    <t>010机械类（611）B+</t>
  </si>
  <si>
    <t>009数学类（605）A-</t>
  </si>
  <si>
    <t>014信息安全（605）C</t>
  </si>
  <si>
    <t>013自动化（无）C</t>
  </si>
  <si>
    <t>011材料类、015数据科学与大数据技术、
016食品工程与科学类</t>
  </si>
  <si>
    <t>001法学（594）</t>
  </si>
  <si>
    <t>002风景园林</t>
  </si>
  <si>
    <t>001法学（593）</t>
  </si>
  <si>
    <t>002会计学（空）</t>
  </si>
  <si>
    <t>003会计学（597）</t>
  </si>
  <si>
    <t>001经济学（590）</t>
  </si>
  <si>
    <t>002工程造价</t>
  </si>
  <si>
    <t>福州大学</t>
  </si>
  <si>
    <t>013信息管理与信息系统（597）</t>
  </si>
  <si>
    <t>017会计学（无）</t>
  </si>
  <si>
    <t>016会计学（602）</t>
  </si>
  <si>
    <t>021物流管理</t>
  </si>
  <si>
    <t>020物流管理</t>
  </si>
  <si>
    <t>001经济学</t>
  </si>
  <si>
    <t>第五梯
较高概率
（590+）
55%至85%</t>
  </si>
  <si>
    <t>001经济学（无）</t>
  </si>
  <si>
    <t>004物流管理（587）</t>
  </si>
  <si>
    <t>002英语、003新闻传播学类</t>
  </si>
  <si>
    <t>太原理工大学</t>
  </si>
  <si>
    <t>山西</t>
  </si>
  <si>
    <t>003光电信息科学与工程（602）</t>
  </si>
  <si>
    <t>002应用物理学（595）</t>
  </si>
  <si>
    <t>001信息与计算科学（591）</t>
  </si>
  <si>
    <t>003工商管理（586）</t>
  </si>
  <si>
    <t>河北工业大学</t>
  </si>
  <si>
    <t>天津</t>
  </si>
  <si>
    <t>003自动化（602）</t>
  </si>
  <si>
    <t>001金融学（595）</t>
  </si>
  <si>
    <t>005物联网工程（595）</t>
  </si>
  <si>
    <t>002人工智能、004计算机科学与技术</t>
  </si>
  <si>
    <t>第六梯
高概率
（580+）
85%至99%</t>
  </si>
  <si>
    <t>大连海事大学</t>
  </si>
  <si>
    <t>辽宁</t>
  </si>
  <si>
    <t>006法学（无）</t>
  </si>
  <si>
    <t>005法学（无）</t>
  </si>
  <si>
    <t>004经济学类（596）</t>
  </si>
  <si>
    <t>009物流管理（无）</t>
  </si>
  <si>
    <t>007交通管理、008海事管理</t>
  </si>
  <si>
    <t>合肥工业大学
（宣城校区）</t>
  </si>
  <si>
    <t>001经济学（589）</t>
  </si>
  <si>
    <t>002物流管理（588）</t>
  </si>
  <si>
    <t>002建筑类、003工程管理、004工程管理</t>
  </si>
  <si>
    <t>海南大学</t>
  </si>
  <si>
    <t>海南</t>
  </si>
  <si>
    <t>015电子信息工程（604）</t>
  </si>
  <si>
    <t>019自动化（602）</t>
  </si>
  <si>
    <t>022信息安全（598）</t>
  </si>
  <si>
    <t>025密码科学与技术（597）</t>
  </si>
  <si>
    <t>004数学与应用数学（597）</t>
  </si>
  <si>
    <t>005应用物理学（594）</t>
  </si>
  <si>
    <t>009、030、014、013、037、039、028、008
043、031、036、007、027、006、042、041
038、010、044、029、045、032、040、035、026</t>
  </si>
  <si>
    <t>辽宁大学</t>
  </si>
  <si>
    <t>006纪检监察（588）</t>
  </si>
  <si>
    <t>001经济学类（585）</t>
  </si>
  <si>
    <t>002经济统计学（581）</t>
  </si>
  <si>
    <t>004金融学类（582）</t>
  </si>
  <si>
    <t>003数字经济（580）</t>
  </si>
  <si>
    <t>005国际经济与贸易（576）</t>
  </si>
  <si>
    <t>保底
99%</t>
  </si>
  <si>
    <t>东北林业大学</t>
  </si>
  <si>
    <t>黑龙江</t>
  </si>
  <si>
    <t>001经济学类（580）</t>
  </si>
  <si>
    <t>002法学（568）</t>
  </si>
  <si>
    <t>003、004、005</t>
  </si>
  <si>
    <t>宁夏大学</t>
  </si>
  <si>
    <t>宁夏</t>
  </si>
  <si>
    <t>否</t>
  </si>
  <si>
    <t>002数学与应用数学（579）</t>
  </si>
  <si>
    <t>003信息与计算科学（579）</t>
  </si>
  <si>
    <t>004应用统计学（576）</t>
  </si>
  <si>
    <t>985大学</t>
  </si>
  <si>
    <t>风险专业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</si>
</sst>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b/>
      <sz val="2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7"/>
  <sheetViews>
    <sheetView tabSelected="1" topLeftCell="A33" workbookViewId="0">
      <selection activeCell="C40" sqref="C40"/>
    </sheetView>
  </sheetViews>
  <sheetFormatPr defaultColWidth="9.02777777777778" defaultRowHeight="45" customHeight="1"/>
  <cols>
    <col min="1" max="1" width="10" style="2" customWidth="1"/>
    <col min="2" max="2" width="9.77777777777778" style="2" customWidth="1"/>
    <col min="3" max="3" width="16.7777777777778" style="2" customWidth="1"/>
    <col min="4" max="8" width="9.02777777777778" style="2"/>
    <col min="9" max="9" width="8.77777777777778" style="2" customWidth="1"/>
    <col min="10" max="10" width="10.7777777777778" style="2" customWidth="1"/>
    <col min="11" max="11" width="14.4444444444444" style="2" customWidth="1"/>
    <col min="12" max="17" width="35.7777777777778" style="2" customWidth="1"/>
    <col min="18" max="18" width="52" style="2" customWidth="1"/>
    <col min="19" max="19" width="17.7777777777778" style="2" customWidth="1"/>
    <col min="20" max="20" width="20.7777777777778" style="2" customWidth="1"/>
    <col min="21" max="21" width="24.7777777777778" style="2" customWidth="1"/>
    <col min="22" max="22" width="16.7777777777778" style="2" customWidth="1"/>
    <col min="23" max="23" width="20.7777777777778" style="2" customWidth="1"/>
    <col min="24" max="24" width="24.7777777777778" style="2" customWidth="1"/>
    <col min="25" max="25" width="16.7777777777778" style="2" customWidth="1"/>
    <col min="26" max="26" width="20.7777777777778" style="2" customWidth="1"/>
    <col min="27" max="27" width="24.7777777777778" style="2" customWidth="1"/>
    <col min="28" max="16384" width="9.02777777777778" style="2"/>
  </cols>
  <sheetData>
    <row r="1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R1" s="3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</row>
    <row r="2" customHeight="1" spans="1:27">
      <c r="A2" s="4" t="s">
        <v>22</v>
      </c>
      <c r="B2" s="2">
        <v>1</v>
      </c>
      <c r="C2" s="5" t="s">
        <v>23</v>
      </c>
      <c r="D2" s="2">
        <v>5</v>
      </c>
      <c r="E2" s="2">
        <v>2607</v>
      </c>
      <c r="F2" s="2">
        <v>500</v>
      </c>
      <c r="G2" s="2">
        <v>670</v>
      </c>
      <c r="H2" s="2">
        <v>673</v>
      </c>
      <c r="I2" s="2">
        <v>56</v>
      </c>
      <c r="J2" s="2" t="s">
        <v>24</v>
      </c>
      <c r="K2" s="6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4" t="s">
        <v>32</v>
      </c>
      <c r="S2" s="2">
        <v>0.0001</v>
      </c>
      <c r="T2" s="2" cm="1">
        <f t="array" ref="T2">ROUND(1-PRODUCT(1-$S$2:S2),6)</f>
        <v>0.0001</v>
      </c>
      <c r="U2" s="2">
        <f>SUM($S$2:S2)</f>
        <v>0.0001</v>
      </c>
      <c r="V2" s="2">
        <v>0</v>
      </c>
      <c r="W2" s="2" cm="1">
        <f t="array" ref="W2">ROUND(1-PRODUCT(1-$V$2:V2),6)</f>
        <v>0</v>
      </c>
      <c r="X2" s="2">
        <f>SUM($V$2:V2)</f>
        <v>0</v>
      </c>
      <c r="Y2" s="2">
        <v>0</v>
      </c>
      <c r="Z2" s="2" cm="1">
        <f t="array" ref="Z2">ROUND(1-PRODUCT(1-$Y$2:Y2),6)</f>
        <v>0</v>
      </c>
      <c r="AA2" s="2">
        <f>SUM($Y$2:Y2)</f>
        <v>0</v>
      </c>
    </row>
    <row r="3" customHeight="1" spans="1:27">
      <c r="B3" s="2">
        <v>2</v>
      </c>
      <c r="C3" s="7" t="s">
        <v>33</v>
      </c>
      <c r="D3" s="2">
        <v>7</v>
      </c>
      <c r="E3" s="2">
        <v>4388</v>
      </c>
      <c r="F3" s="2">
        <v>500</v>
      </c>
      <c r="G3" s="2">
        <v>667</v>
      </c>
      <c r="H3" s="2">
        <v>670</v>
      </c>
      <c r="I3" s="2">
        <v>30</v>
      </c>
      <c r="J3" s="2" t="s">
        <v>34</v>
      </c>
      <c r="K3" s="6"/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>
        <v>0.0001</v>
      </c>
      <c r="T3" s="2" cm="1">
        <f t="array" ref="T3">ROUND(1-PRODUCT(1-$S$2:S3),6)</f>
        <v>0.0002</v>
      </c>
      <c r="U3" s="2">
        <f>SUM($S$2:S3)</f>
        <v>0.0002</v>
      </c>
      <c r="V3" s="2">
        <v>0</v>
      </c>
      <c r="W3" s="2" cm="1">
        <f t="array" ref="W3">ROUND(1-PRODUCT(1-$V$2:V3),6)</f>
        <v>0</v>
      </c>
      <c r="X3" s="2">
        <f>SUM($V$2:V3)</f>
        <v>0</v>
      </c>
      <c r="Y3" s="2">
        <v>0</v>
      </c>
      <c r="Z3" s="2" cm="1">
        <f t="array" ref="Z3">ROUND(1-PRODUCT(1-$Y$2:Y3),6)</f>
        <v>0</v>
      </c>
      <c r="AA3" s="2">
        <f>SUM($Y$2:Y3)</f>
        <v>0</v>
      </c>
    </row>
    <row r="4" customHeight="1" spans="1:27">
      <c r="B4" s="2">
        <v>3</v>
      </c>
      <c r="C4" s="5" t="s">
        <v>42</v>
      </c>
      <c r="D4" s="2">
        <v>9</v>
      </c>
      <c r="E4" s="2">
        <v>3111</v>
      </c>
      <c r="F4" s="2">
        <v>500</v>
      </c>
      <c r="G4" s="2">
        <v>650</v>
      </c>
      <c r="H4" s="2">
        <v>656</v>
      </c>
      <c r="I4" s="2">
        <v>52</v>
      </c>
      <c r="J4" s="2" t="s">
        <v>43</v>
      </c>
      <c r="K4" s="6"/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4" t="s">
        <v>50</v>
      </c>
      <c r="S4" s="2">
        <v>0.0001</v>
      </c>
      <c r="T4" s="2" cm="1">
        <f t="array" ref="T4">ROUND(1-PRODUCT(1-$S$2:S4),6)</f>
        <v>0.0003</v>
      </c>
      <c r="U4" s="2">
        <f>SUM($S$2:S4)</f>
        <v>0.0003</v>
      </c>
      <c r="V4" s="2">
        <v>0</v>
      </c>
      <c r="W4" s="2" cm="1">
        <f t="array" ref="W4">ROUND(1-PRODUCT(1-$V$2:V4),6)</f>
        <v>0</v>
      </c>
      <c r="X4" s="2">
        <f>SUM($V$2:V4)</f>
        <v>0</v>
      </c>
      <c r="Y4" s="2">
        <v>0</v>
      </c>
      <c r="Z4" s="2" cm="1">
        <f t="array" ref="Z4">ROUND(1-PRODUCT(1-$Y$2:Y4),6)</f>
        <v>0</v>
      </c>
      <c r="AA4" s="2">
        <f>SUM($Y$2:Y4)</f>
        <v>0</v>
      </c>
    </row>
    <row r="5" customHeight="1" spans="1:27">
      <c r="B5" s="2">
        <v>4</v>
      </c>
      <c r="C5" s="5" t="s">
        <v>51</v>
      </c>
      <c r="D5" s="2">
        <v>22</v>
      </c>
      <c r="E5" s="2">
        <v>3621</v>
      </c>
      <c r="F5" s="2">
        <v>500</v>
      </c>
      <c r="G5" s="2">
        <v>630</v>
      </c>
      <c r="H5" s="2">
        <v>630</v>
      </c>
      <c r="I5" s="2">
        <v>18</v>
      </c>
      <c r="J5" s="2" t="s">
        <v>52</v>
      </c>
      <c r="K5" s="6"/>
      <c r="L5" s="2" t="s">
        <v>53</v>
      </c>
      <c r="M5" s="2" t="s">
        <v>54</v>
      </c>
      <c r="N5" s="2" t="s">
        <v>55</v>
      </c>
      <c r="O5" s="2" t="s">
        <v>56</v>
      </c>
      <c r="P5" s="2" t="s">
        <v>57</v>
      </c>
      <c r="Q5" s="2" t="s">
        <v>40</v>
      </c>
      <c r="R5" s="2" t="s">
        <v>58</v>
      </c>
      <c r="S5" s="2">
        <v>0.0001</v>
      </c>
      <c r="T5" s="2" cm="1">
        <f t="array" ref="T5">ROUND(1-PRODUCT(1-$S$2:S5),6)</f>
        <v>0.0004</v>
      </c>
      <c r="U5" s="2">
        <f>SUM($S$2:S5)</f>
        <v>0.0004</v>
      </c>
      <c r="V5" s="2">
        <v>0</v>
      </c>
      <c r="W5" s="2" cm="1">
        <f t="array" ref="W5">ROUND(1-PRODUCT(1-$V$2:V5),6)</f>
        <v>0</v>
      </c>
      <c r="X5" s="2">
        <f>SUM($V$2:V5)</f>
        <v>0</v>
      </c>
      <c r="Y5" s="2">
        <v>0</v>
      </c>
      <c r="Z5" s="2" cm="1">
        <f t="array" ref="Z5">ROUND(1-PRODUCT(1-$Y$2:Y5),6)</f>
        <v>0</v>
      </c>
      <c r="AA5" s="2">
        <f>SUM($Y$2:Y5)</f>
        <v>0</v>
      </c>
    </row>
    <row r="6" customHeight="1" spans="1:27">
      <c r="B6" s="2">
        <v>5</v>
      </c>
      <c r="C6" s="5" t="s">
        <v>59</v>
      </c>
      <c r="D6" s="2">
        <v>34</v>
      </c>
      <c r="E6" s="2">
        <v>2467</v>
      </c>
      <c r="F6" s="2">
        <v>500</v>
      </c>
      <c r="G6" s="2">
        <v>628</v>
      </c>
      <c r="H6" s="2">
        <v>628</v>
      </c>
      <c r="I6" s="2">
        <v>86</v>
      </c>
      <c r="J6" s="2" t="s">
        <v>60</v>
      </c>
      <c r="K6" s="6"/>
      <c r="L6" s="2" t="s">
        <v>61</v>
      </c>
      <c r="M6" s="2" t="s">
        <v>62</v>
      </c>
      <c r="N6" s="2" t="s">
        <v>40</v>
      </c>
      <c r="R6" s="2" t="s">
        <v>63</v>
      </c>
      <c r="S6" s="2">
        <v>0.0001</v>
      </c>
      <c r="T6" s="2" cm="1">
        <f t="array" ref="T6">ROUND(1-PRODUCT(1-$S$2:S6),6)</f>
        <v>0.0005</v>
      </c>
      <c r="U6" s="2">
        <f>SUM($S$2:S6)</f>
        <v>0.0005</v>
      </c>
      <c r="V6" s="2">
        <v>0</v>
      </c>
      <c r="W6" s="2" cm="1">
        <f t="array" ref="W6">ROUND(1-PRODUCT(1-$V$2:V6),6)</f>
        <v>0</v>
      </c>
      <c r="X6" s="2">
        <f>SUM($V$2:V6)</f>
        <v>0</v>
      </c>
      <c r="Y6" s="2">
        <v>0</v>
      </c>
      <c r="Z6" s="2" cm="1">
        <f t="array" ref="Z6">ROUND(1-PRODUCT(1-$Y$2:Y6),6)</f>
        <v>0</v>
      </c>
      <c r="AA6" s="2">
        <f>SUM($Y$2:Y6)</f>
        <v>0</v>
      </c>
    </row>
    <row r="7" customHeight="1" spans="1:27">
      <c r="A7" s="4" t="s">
        <v>64</v>
      </c>
      <c r="B7" s="2">
        <v>6</v>
      </c>
      <c r="C7" s="5" t="s">
        <v>65</v>
      </c>
      <c r="D7" s="2">
        <v>25</v>
      </c>
      <c r="E7" s="2">
        <v>1168</v>
      </c>
      <c r="F7" s="2">
        <v>999</v>
      </c>
      <c r="G7" s="2">
        <v>627</v>
      </c>
      <c r="H7" s="2">
        <v>630</v>
      </c>
      <c r="I7" s="2">
        <v>125</v>
      </c>
      <c r="J7" s="2" t="s">
        <v>66</v>
      </c>
      <c r="K7" s="6"/>
      <c r="L7" s="2" t="s">
        <v>67</v>
      </c>
      <c r="M7" s="2" t="s">
        <v>68</v>
      </c>
      <c r="N7" s="2" t="s">
        <v>69</v>
      </c>
      <c r="O7" s="2" t="s">
        <v>70</v>
      </c>
      <c r="P7" s="2" t="s">
        <v>71</v>
      </c>
      <c r="Q7" s="2" t="s">
        <v>72</v>
      </c>
      <c r="R7" s="2" t="s">
        <v>73</v>
      </c>
      <c r="S7" s="2">
        <v>0.001</v>
      </c>
      <c r="T7" s="2" cm="1">
        <f t="array" ref="T7">ROUND(1-PRODUCT(1-$S$2:S7),6)</f>
        <v>0.001499</v>
      </c>
      <c r="U7" s="2">
        <f>SUM($S$2:S7)</f>
        <v>0.0015</v>
      </c>
      <c r="V7" s="2">
        <v>0</v>
      </c>
      <c r="W7" s="2" cm="1">
        <f t="array" ref="W7">ROUND(1-PRODUCT(1-$V$2:V7),6)</f>
        <v>0</v>
      </c>
      <c r="X7" s="2">
        <f>SUM($V$2:V7)</f>
        <v>0</v>
      </c>
      <c r="Y7" s="2">
        <v>0</v>
      </c>
      <c r="Z7" s="2" cm="1">
        <f t="array" ref="Z7">ROUND(1-PRODUCT(1-$Y$2:Y7),6)</f>
        <v>0</v>
      </c>
      <c r="AA7" s="2">
        <f>SUM($Y$2:Y7)</f>
        <v>0</v>
      </c>
    </row>
    <row r="8" customHeight="1" spans="1:27">
      <c r="B8" s="2">
        <v>7</v>
      </c>
      <c r="C8" s="5" t="s">
        <v>74</v>
      </c>
      <c r="D8" s="2">
        <v>13</v>
      </c>
      <c r="E8" s="2">
        <v>4462</v>
      </c>
      <c r="F8" s="2">
        <v>500</v>
      </c>
      <c r="G8" s="2">
        <v>632</v>
      </c>
      <c r="H8" s="2">
        <v>642</v>
      </c>
      <c r="I8" s="2">
        <v>95</v>
      </c>
      <c r="J8" s="2" t="s">
        <v>75</v>
      </c>
      <c r="K8" s="6"/>
      <c r="L8" s="2" t="s">
        <v>76</v>
      </c>
      <c r="M8" s="2" t="s">
        <v>77</v>
      </c>
      <c r="N8" s="2" t="s">
        <v>78</v>
      </c>
      <c r="O8" s="2" t="s">
        <v>40</v>
      </c>
      <c r="R8" s="2" t="s">
        <v>79</v>
      </c>
      <c r="S8" s="2">
        <v>0.001</v>
      </c>
      <c r="T8" s="2" cm="1">
        <f t="array" ref="T8">ROUND(1-PRODUCT(1-$S$2:S8),6)</f>
        <v>0.002498</v>
      </c>
      <c r="U8" s="2">
        <f>SUM($S$2:S8)</f>
        <v>0.0025</v>
      </c>
      <c r="V8" s="2">
        <v>0</v>
      </c>
      <c r="W8" s="2" cm="1">
        <f t="array" ref="W8">ROUND(1-PRODUCT(1-$V$2:V8),6)</f>
        <v>0</v>
      </c>
      <c r="X8" s="2">
        <f>SUM($V$2:V8)</f>
        <v>0</v>
      </c>
      <c r="Y8" s="2">
        <v>0</v>
      </c>
      <c r="Z8" s="2" cm="1">
        <f t="array" ref="Z8">ROUND(1-PRODUCT(1-$Y$2:Y8),6)</f>
        <v>0</v>
      </c>
      <c r="AA8" s="2">
        <f>SUM($Y$2:Y8)</f>
        <v>0</v>
      </c>
    </row>
    <row r="9" customHeight="1" spans="1:27">
      <c r="B9" s="2">
        <v>8</v>
      </c>
      <c r="C9" s="2" t="s">
        <v>80</v>
      </c>
      <c r="D9" s="2">
        <v>35</v>
      </c>
      <c r="E9" s="2">
        <v>3698</v>
      </c>
      <c r="F9" s="2">
        <v>500</v>
      </c>
      <c r="G9" s="2">
        <v>624</v>
      </c>
      <c r="H9" s="2">
        <v>629</v>
      </c>
      <c r="I9" s="2">
        <v>25</v>
      </c>
      <c r="J9" s="2" t="s">
        <v>24</v>
      </c>
      <c r="K9" s="6"/>
      <c r="L9" s="2" t="s">
        <v>81</v>
      </c>
      <c r="M9" s="2" t="s">
        <v>82</v>
      </c>
      <c r="N9" s="2" t="s">
        <v>83</v>
      </c>
      <c r="O9" s="2" t="s">
        <v>40</v>
      </c>
      <c r="R9" s="2" t="s">
        <v>84</v>
      </c>
      <c r="S9" s="2">
        <v>0.001</v>
      </c>
      <c r="T9" s="2" cm="1">
        <f t="array" ref="T9">ROUND(1-PRODUCT(1-$S$2:S9),6)</f>
        <v>0.003495</v>
      </c>
      <c r="U9" s="2">
        <f>SUM($S$2:S9)</f>
        <v>0.0035</v>
      </c>
      <c r="V9" s="2">
        <v>0</v>
      </c>
      <c r="W9" s="2" cm="1">
        <f t="array" ref="W9">ROUND(1-PRODUCT(1-$V$2:V9),6)</f>
        <v>0</v>
      </c>
      <c r="X9" s="2">
        <f>SUM($V$2:V9)</f>
        <v>0</v>
      </c>
      <c r="Y9" s="2">
        <v>0</v>
      </c>
      <c r="Z9" s="2" cm="1">
        <f t="array" ref="Z9">ROUND(1-PRODUCT(1-$Y$2:Y9),6)</f>
        <v>0</v>
      </c>
      <c r="AA9" s="2">
        <f>SUM($Y$2:Y9)</f>
        <v>0</v>
      </c>
    </row>
    <row r="10" customHeight="1" spans="1:27">
      <c r="B10" s="2">
        <v>9</v>
      </c>
      <c r="C10" s="2" t="s">
        <v>85</v>
      </c>
      <c r="D10" s="2">
        <v>27</v>
      </c>
      <c r="E10" s="2">
        <v>4450</v>
      </c>
      <c r="F10" s="2">
        <v>500</v>
      </c>
      <c r="G10" s="2">
        <v>621</v>
      </c>
      <c r="H10" s="2">
        <v>624</v>
      </c>
      <c r="I10" s="2">
        <v>115</v>
      </c>
      <c r="J10" s="2" t="s">
        <v>86</v>
      </c>
      <c r="K10" s="6"/>
      <c r="L10" s="2" t="s">
        <v>87</v>
      </c>
      <c r="M10" s="2" t="s">
        <v>88</v>
      </c>
      <c r="N10" s="2" t="s">
        <v>89</v>
      </c>
      <c r="O10" s="2" t="s">
        <v>40</v>
      </c>
      <c r="R10" s="2" t="s">
        <v>90</v>
      </c>
      <c r="S10" s="2">
        <v>0.001</v>
      </c>
      <c r="T10" s="2" cm="1">
        <f t="array" ref="T10">ROUND(1-PRODUCT(1-$S$2:S10),6)</f>
        <v>0.004492</v>
      </c>
      <c r="U10" s="2">
        <f>SUM($S$2:S10)</f>
        <v>0.0045</v>
      </c>
      <c r="V10" s="2">
        <v>0</v>
      </c>
      <c r="W10" s="2" cm="1">
        <f t="array" ref="W10">ROUND(1-PRODUCT(1-$V$2:V10),6)</f>
        <v>0</v>
      </c>
      <c r="X10" s="2">
        <f>SUM($V$2:V10)</f>
        <v>0</v>
      </c>
      <c r="Y10" s="2">
        <v>0</v>
      </c>
      <c r="Z10" s="2" cm="1">
        <f t="array" ref="Z10">ROUND(1-PRODUCT(1-$Y$2:Y10),6)</f>
        <v>0</v>
      </c>
      <c r="AA10" s="2">
        <f>SUM($Y$2:Y10)</f>
        <v>0</v>
      </c>
    </row>
    <row r="11" customHeight="1" spans="1:27">
      <c r="B11" s="2">
        <v>10</v>
      </c>
      <c r="C11" s="2" t="s">
        <v>91</v>
      </c>
      <c r="D11" s="2">
        <v>42</v>
      </c>
      <c r="E11" s="2">
        <v>4466</v>
      </c>
      <c r="F11" s="2">
        <v>999</v>
      </c>
      <c r="G11" s="2">
        <v>623</v>
      </c>
      <c r="H11" s="2">
        <v>623</v>
      </c>
      <c r="I11" s="2">
        <v>25</v>
      </c>
      <c r="J11" s="2" t="s">
        <v>92</v>
      </c>
      <c r="K11" s="6"/>
      <c r="L11" s="2" t="s">
        <v>93</v>
      </c>
      <c r="M11" s="2" t="s">
        <v>94</v>
      </c>
      <c r="N11" s="2" t="s">
        <v>95</v>
      </c>
      <c r="O11" s="2" t="s">
        <v>96</v>
      </c>
      <c r="P11" s="2" t="s">
        <v>97</v>
      </c>
      <c r="Q11" s="2" t="s">
        <v>98</v>
      </c>
      <c r="R11" s="4" t="s">
        <v>99</v>
      </c>
      <c r="S11" s="2">
        <v>0.001</v>
      </c>
      <c r="T11" s="2" cm="1">
        <f t="array" ref="T11">ROUND(1-PRODUCT(1-$S$2:S11),6)</f>
        <v>0.005487</v>
      </c>
      <c r="U11" s="2">
        <f>SUM($S$2:S11)</f>
        <v>0.0055</v>
      </c>
      <c r="V11" s="2">
        <v>0</v>
      </c>
      <c r="W11" s="2" cm="1">
        <f t="array" ref="W11">ROUND(1-PRODUCT(1-$V$2:V11),6)</f>
        <v>0</v>
      </c>
      <c r="X11" s="2">
        <f>SUM($V$2:V11)</f>
        <v>0</v>
      </c>
      <c r="Y11" s="2">
        <v>0</v>
      </c>
      <c r="Z11" s="2" cm="1">
        <f t="array" ref="Z11">ROUND(1-PRODUCT(1-$Y$2:Y11),6)</f>
        <v>0</v>
      </c>
      <c r="AA11" s="2">
        <f>SUM($Y$2:Y11)</f>
        <v>0</v>
      </c>
    </row>
    <row r="12" customHeight="1" spans="1:27">
      <c r="B12" s="2">
        <v>11</v>
      </c>
      <c r="C12" s="5" t="s">
        <v>100</v>
      </c>
      <c r="D12" s="2">
        <v>40</v>
      </c>
      <c r="E12" s="2">
        <v>3297</v>
      </c>
      <c r="F12" s="2">
        <v>500</v>
      </c>
      <c r="G12" s="2">
        <v>609</v>
      </c>
      <c r="H12" s="2">
        <v>615</v>
      </c>
      <c r="I12" s="2">
        <v>1</v>
      </c>
      <c r="J12" s="2" t="s">
        <v>101</v>
      </c>
      <c r="K12" s="6"/>
      <c r="L12" s="2" t="s">
        <v>102</v>
      </c>
      <c r="M12" s="2" t="s">
        <v>40</v>
      </c>
      <c r="R12" s="2" t="s">
        <v>58</v>
      </c>
      <c r="S12" s="2">
        <v>0.001</v>
      </c>
      <c r="T12" s="2" cm="1">
        <f t="array" ref="T12">ROUND(1-PRODUCT(1-$S$2:S12),6)</f>
        <v>0.006482</v>
      </c>
      <c r="U12" s="2">
        <f>SUM($S$2:S12)</f>
        <v>0.0065</v>
      </c>
      <c r="V12" s="2">
        <v>0</v>
      </c>
      <c r="W12" s="2" cm="1">
        <f t="array" ref="W12">ROUND(1-PRODUCT(1-$V$2:V12),6)</f>
        <v>0</v>
      </c>
      <c r="X12" s="2">
        <f>SUM($V$2:V12)</f>
        <v>0</v>
      </c>
      <c r="Y12" s="2">
        <v>0</v>
      </c>
      <c r="Z12" s="2" cm="1">
        <f t="array" ref="Z12">ROUND(1-PRODUCT(1-$Y$2:Y12),6)</f>
        <v>0</v>
      </c>
      <c r="AA12" s="2">
        <f>SUM($Y$2:Y12)</f>
        <v>0</v>
      </c>
    </row>
    <row r="13" customHeight="1" spans="1:27">
      <c r="B13" s="2">
        <v>12</v>
      </c>
      <c r="C13" s="7" t="s">
        <v>103</v>
      </c>
      <c r="D13" s="2">
        <v>69</v>
      </c>
      <c r="E13" s="2">
        <v>4080</v>
      </c>
      <c r="F13" s="2">
        <v>500</v>
      </c>
      <c r="G13" s="2">
        <v>601</v>
      </c>
      <c r="H13" s="2">
        <v>611</v>
      </c>
      <c r="I13" s="2">
        <v>9</v>
      </c>
      <c r="J13" s="2" t="s">
        <v>104</v>
      </c>
      <c r="K13" s="6"/>
      <c r="L13" s="2" t="s">
        <v>105</v>
      </c>
      <c r="M13" s="2" t="s">
        <v>106</v>
      </c>
      <c r="N13" s="2" t="s">
        <v>107</v>
      </c>
      <c r="O13" s="2" t="s">
        <v>40</v>
      </c>
      <c r="R13" s="2" t="s">
        <v>108</v>
      </c>
      <c r="S13" s="2">
        <v>0.01</v>
      </c>
      <c r="T13" s="2" cm="1">
        <f t="array" ref="T13">ROUND(1-PRODUCT(1-$S$2:S13),6)</f>
        <v>0.016417</v>
      </c>
      <c r="U13" s="2">
        <f>SUM($S$2:S13)</f>
        <v>0.0165</v>
      </c>
      <c r="V13" s="2">
        <v>0.01</v>
      </c>
      <c r="W13" s="2" cm="1">
        <f t="array" ref="W13">ROUND(1-PRODUCT(1-$V$2:V13),6)</f>
        <v>0.01</v>
      </c>
      <c r="X13" s="2">
        <f>SUM($V$2:V13)</f>
        <v>0.01</v>
      </c>
      <c r="Y13" s="2">
        <v>0</v>
      </c>
      <c r="Z13" s="2" cm="1">
        <f t="array" ref="Z13">ROUND(1-PRODUCT(1-$Y$2:Y13),6)</f>
        <v>0</v>
      </c>
      <c r="AA13" s="2">
        <f>SUM($Y$2:Y13)</f>
        <v>0</v>
      </c>
    </row>
    <row r="14" customHeight="1" spans="1:27">
      <c r="B14" s="2">
        <v>13</v>
      </c>
      <c r="C14" s="5" t="s">
        <v>100</v>
      </c>
      <c r="D14" s="2">
        <v>40</v>
      </c>
      <c r="E14" s="2">
        <v>3300</v>
      </c>
      <c r="F14" s="2">
        <v>500</v>
      </c>
      <c r="G14" s="2">
        <v>609</v>
      </c>
      <c r="H14" s="2">
        <v>609</v>
      </c>
      <c r="I14" s="2">
        <v>11</v>
      </c>
      <c r="J14" s="2" t="s">
        <v>101</v>
      </c>
      <c r="K14" s="6"/>
      <c r="L14" s="2" t="s">
        <v>109</v>
      </c>
      <c r="M14" s="2" t="s">
        <v>110</v>
      </c>
      <c r="N14" s="2" t="s">
        <v>111</v>
      </c>
      <c r="O14" s="2" t="s">
        <v>112</v>
      </c>
      <c r="P14" s="2" t="s">
        <v>40</v>
      </c>
      <c r="R14" s="2" t="s">
        <v>113</v>
      </c>
      <c r="S14" s="2">
        <v>0.02</v>
      </c>
      <c r="T14" s="2" cm="1">
        <f t="array" ref="T14">ROUND(1-PRODUCT(1-$S$2:S14),6)</f>
        <v>0.036089</v>
      </c>
      <c r="U14" s="2">
        <f>SUM($S$2:S14)</f>
        <v>0.0365</v>
      </c>
      <c r="V14" s="2">
        <v>0.01</v>
      </c>
      <c r="W14" s="2" cm="1">
        <f t="array" ref="W14">ROUND(1-PRODUCT(1-$V$2:V14),6)</f>
        <v>0.0199</v>
      </c>
      <c r="X14" s="2">
        <f>SUM($V$2:V14)</f>
        <v>0.02</v>
      </c>
      <c r="Y14" s="2">
        <v>0</v>
      </c>
      <c r="Z14" s="2" cm="1">
        <f t="array" ref="Z14">ROUND(1-PRODUCT(1-$Y$2:Y14),6)</f>
        <v>0</v>
      </c>
      <c r="AA14" s="2">
        <f>SUM($Y$2:Y14)</f>
        <v>0</v>
      </c>
    </row>
    <row r="15" customHeight="1" spans="1:27">
      <c r="B15" s="2">
        <v>14</v>
      </c>
      <c r="C15" s="2" t="s">
        <v>114</v>
      </c>
      <c r="D15" s="2">
        <v>57</v>
      </c>
      <c r="E15" s="2">
        <v>2277</v>
      </c>
      <c r="F15" s="2">
        <v>500</v>
      </c>
      <c r="G15" s="2">
        <v>608</v>
      </c>
      <c r="H15" s="2">
        <v>610</v>
      </c>
      <c r="I15" s="2">
        <v>74</v>
      </c>
      <c r="J15" s="2" t="s">
        <v>92</v>
      </c>
      <c r="K15" s="6"/>
      <c r="L15" s="2" t="s">
        <v>115</v>
      </c>
      <c r="M15" s="2" t="s">
        <v>116</v>
      </c>
      <c r="N15" s="2" t="s">
        <v>117</v>
      </c>
      <c r="O15" s="2" t="s">
        <v>118</v>
      </c>
      <c r="P15" s="2" t="s">
        <v>119</v>
      </c>
      <c r="Q15" s="2" t="s">
        <v>40</v>
      </c>
      <c r="R15" s="2" t="s">
        <v>120</v>
      </c>
      <c r="S15" s="2">
        <v>0.02</v>
      </c>
      <c r="T15" s="2" cm="1">
        <f t="array" ref="T15">ROUND(1-PRODUCT(1-$S$2:S15),6)</f>
        <v>0.055367</v>
      </c>
      <c r="U15" s="2">
        <f>SUM($S$2:S15)</f>
        <v>0.0565</v>
      </c>
      <c r="V15" s="2">
        <v>0.01</v>
      </c>
      <c r="W15" s="2" cm="1">
        <f t="array" ref="W15">ROUND(1-PRODUCT(1-$V$2:V15),6)</f>
        <v>0.029701</v>
      </c>
      <c r="X15" s="2">
        <f>SUM($V$2:V15)</f>
        <v>0.03</v>
      </c>
      <c r="Y15" s="2">
        <v>0</v>
      </c>
      <c r="Z15" s="2" cm="1">
        <f t="array" ref="Z15">ROUND(1-PRODUCT(1-$Y$2:Y15),6)</f>
        <v>0</v>
      </c>
      <c r="AA15" s="2">
        <f>SUM($Y$2:Y15)</f>
        <v>0</v>
      </c>
    </row>
    <row r="16" customHeight="1" spans="1:27">
      <c r="B16" s="2">
        <v>15</v>
      </c>
      <c r="C16" s="7" t="s">
        <v>103</v>
      </c>
      <c r="D16" s="2">
        <v>69</v>
      </c>
      <c r="E16" s="2">
        <v>4080</v>
      </c>
      <c r="F16" s="2">
        <v>516</v>
      </c>
      <c r="G16" s="2">
        <v>601</v>
      </c>
      <c r="H16" s="2">
        <v>609</v>
      </c>
      <c r="I16" s="2">
        <v>2</v>
      </c>
      <c r="J16" s="2" t="s">
        <v>104</v>
      </c>
      <c r="K16" s="6"/>
      <c r="L16" s="2" t="s">
        <v>121</v>
      </c>
      <c r="M16" s="2" t="s">
        <v>40</v>
      </c>
      <c r="R16" s="2" t="s">
        <v>58</v>
      </c>
      <c r="S16" s="2">
        <v>0.02</v>
      </c>
      <c r="T16" s="2" cm="1">
        <f t="array" ref="T16">ROUND(1-PRODUCT(1-$S$2:S16),6)</f>
        <v>0.07426</v>
      </c>
      <c r="U16" s="2">
        <f>SUM($S$2:S16)</f>
        <v>0.0765</v>
      </c>
      <c r="V16" s="2">
        <v>0.01</v>
      </c>
      <c r="W16" s="2" cm="1">
        <f t="array" ref="W16">ROUND(1-PRODUCT(1-$V$2:V16),6)</f>
        <v>0.039404</v>
      </c>
      <c r="X16" s="2">
        <f>SUM($V$2:V16)</f>
        <v>0.04</v>
      </c>
      <c r="Y16" s="2">
        <v>0</v>
      </c>
      <c r="Z16" s="2" cm="1">
        <f t="array" ref="Z16">ROUND(1-PRODUCT(1-$Y$2:Y16),6)</f>
        <v>0</v>
      </c>
      <c r="AA16" s="2">
        <f>SUM($Y$2:Y16)</f>
        <v>0</v>
      </c>
    </row>
    <row r="17" customHeight="1" spans="1:27">
      <c r="A17" s="4" t="s">
        <v>122</v>
      </c>
      <c r="B17" s="2">
        <v>16</v>
      </c>
      <c r="C17" s="2" t="s">
        <v>123</v>
      </c>
      <c r="D17" s="2">
        <v>81</v>
      </c>
      <c r="E17" s="2">
        <v>3744</v>
      </c>
      <c r="F17" s="2">
        <v>500</v>
      </c>
      <c r="G17" s="2">
        <v>608</v>
      </c>
      <c r="H17" s="2">
        <v>608</v>
      </c>
      <c r="I17" s="2">
        <v>4</v>
      </c>
      <c r="J17" s="2" t="s">
        <v>24</v>
      </c>
      <c r="K17" s="6"/>
      <c r="L17" s="2" t="s">
        <v>124</v>
      </c>
      <c r="M17" s="2" t="s">
        <v>40</v>
      </c>
      <c r="R17" s="2" t="s">
        <v>58</v>
      </c>
      <c r="S17" s="2">
        <v>0.02</v>
      </c>
      <c r="T17" s="2" cm="1">
        <f t="array" ref="T17">ROUND(1-PRODUCT(1-$S$2:S17),6)</f>
        <v>0.092774</v>
      </c>
      <c r="U17" s="2">
        <f>SUM($S$2:S17)</f>
        <v>0.0965</v>
      </c>
      <c r="V17" s="2">
        <v>0.01</v>
      </c>
      <c r="W17" s="2" cm="1">
        <f t="array" ref="W17">ROUND(1-PRODUCT(1-$V$2:V17),6)</f>
        <v>0.04901</v>
      </c>
      <c r="X17" s="2">
        <f>SUM($V$2:V17)</f>
        <v>0.05</v>
      </c>
      <c r="Y17" s="2">
        <v>0</v>
      </c>
      <c r="Z17" s="2" cm="1">
        <f t="array" ref="Z17">ROUND(1-PRODUCT(1-$Y$2:Y17),6)</f>
        <v>0</v>
      </c>
      <c r="AA17" s="2">
        <f>SUM($Y$2:Y17)</f>
        <v>0</v>
      </c>
    </row>
    <row r="18" customHeight="1" spans="1:27">
      <c r="A18" s="4"/>
      <c r="B18" s="2">
        <v>17</v>
      </c>
      <c r="C18" s="5" t="s">
        <v>100</v>
      </c>
      <c r="D18" s="2">
        <v>40</v>
      </c>
      <c r="E18" s="2">
        <v>3297</v>
      </c>
      <c r="F18" s="2">
        <v>999</v>
      </c>
      <c r="G18" s="2">
        <v>609</v>
      </c>
      <c r="H18" s="2">
        <v>607</v>
      </c>
      <c r="I18" s="2">
        <v>13</v>
      </c>
      <c r="J18" s="2" t="s">
        <v>101</v>
      </c>
      <c r="K18" s="6"/>
      <c r="L18" s="2" t="s">
        <v>125</v>
      </c>
      <c r="M18" s="2" t="s">
        <v>126</v>
      </c>
      <c r="N18" s="2" t="s">
        <v>127</v>
      </c>
      <c r="O18" s="2" t="s">
        <v>40</v>
      </c>
      <c r="R18" s="2" t="s">
        <v>128</v>
      </c>
      <c r="S18" s="2">
        <v>0.05</v>
      </c>
      <c r="T18" s="2" cm="1">
        <f t="array" ref="T18">ROUND(1-PRODUCT(1-$S$2:S18),6)</f>
        <v>0.138136</v>
      </c>
      <c r="U18" s="2">
        <f>SUM($S$2:S18)</f>
        <v>0.1465</v>
      </c>
      <c r="V18" s="2">
        <v>0.01</v>
      </c>
      <c r="W18" s="2" cm="1">
        <f t="array" ref="W18">ROUND(1-PRODUCT(1-$V$2:V18),6)</f>
        <v>0.05852</v>
      </c>
      <c r="X18" s="2">
        <f>SUM($V$2:V18)</f>
        <v>0.06</v>
      </c>
      <c r="Y18" s="2">
        <v>0</v>
      </c>
      <c r="Z18" s="2" cm="1">
        <f t="array" ref="Z18">ROUND(1-PRODUCT(1-$Y$2:Y18),6)</f>
        <v>0</v>
      </c>
      <c r="AA18" s="2">
        <f>SUM($Y$2:Y18)</f>
        <v>0</v>
      </c>
    </row>
    <row r="19" customHeight="1" spans="1:27">
      <c r="A19" s="4"/>
      <c r="B19" s="2">
        <v>18</v>
      </c>
      <c r="C19" s="8" t="s">
        <v>129</v>
      </c>
      <c r="D19" s="2">
        <v>84</v>
      </c>
      <c r="E19" s="2">
        <v>3075</v>
      </c>
      <c r="F19" s="2">
        <v>500</v>
      </c>
      <c r="G19" s="2">
        <v>595</v>
      </c>
      <c r="H19" s="2">
        <v>607</v>
      </c>
      <c r="I19" s="2">
        <v>24</v>
      </c>
      <c r="J19" s="2" t="s">
        <v>130</v>
      </c>
      <c r="K19" s="6"/>
      <c r="L19" s="2" t="s">
        <v>131</v>
      </c>
      <c r="M19" s="2" t="s">
        <v>132</v>
      </c>
      <c r="N19" s="2" t="s">
        <v>133</v>
      </c>
      <c r="O19" s="2" t="s">
        <v>40</v>
      </c>
      <c r="R19" s="9" t="s">
        <v>134</v>
      </c>
      <c r="S19" s="2">
        <v>0.05</v>
      </c>
      <c r="T19" s="2" cm="1">
        <f t="array" ref="T19">ROUND(1-PRODUCT(1-$S$2:S19),6)</f>
        <v>0.181229</v>
      </c>
      <c r="U19" s="2">
        <f>SUM($S$2:S19)</f>
        <v>0.1965</v>
      </c>
      <c r="V19" s="2">
        <v>0.01</v>
      </c>
      <c r="W19" s="2" cm="1">
        <f t="array" ref="W19">ROUND(1-PRODUCT(1-$V$2:V19),6)</f>
        <v>0.067935</v>
      </c>
      <c r="X19" s="2">
        <f>SUM($V$2:V19)</f>
        <v>0.07</v>
      </c>
      <c r="Y19" s="2">
        <v>0</v>
      </c>
      <c r="Z19" s="2" cm="1">
        <f t="array" ref="Z19">ROUND(1-PRODUCT(1-$Y$2:Y19),6)</f>
        <v>0</v>
      </c>
      <c r="AA19" s="2">
        <f>SUM($Y$2:Y19)</f>
        <v>0</v>
      </c>
    </row>
    <row r="20" customHeight="1" spans="1:27">
      <c r="A20" s="4"/>
      <c r="B20" s="2">
        <v>19</v>
      </c>
      <c r="C20" s="2" t="s">
        <v>135</v>
      </c>
      <c r="D20" s="2">
        <v>74</v>
      </c>
      <c r="E20" s="2">
        <v>3389</v>
      </c>
      <c r="F20" s="2">
        <v>500</v>
      </c>
      <c r="G20" s="2">
        <v>587</v>
      </c>
      <c r="H20" s="2">
        <v>606</v>
      </c>
      <c r="I20" s="2">
        <v>14</v>
      </c>
      <c r="J20" s="2" t="s">
        <v>136</v>
      </c>
      <c r="K20" s="6"/>
      <c r="L20" s="2" t="s">
        <v>137</v>
      </c>
      <c r="M20" s="2" t="s">
        <v>138</v>
      </c>
      <c r="N20" s="2" t="s">
        <v>139</v>
      </c>
      <c r="O20" s="2" t="s">
        <v>40</v>
      </c>
      <c r="R20" s="2" t="s">
        <v>140</v>
      </c>
      <c r="S20" s="2">
        <v>0.05</v>
      </c>
      <c r="T20" s="2" cm="1">
        <f t="array" ref="T20">ROUND(1-PRODUCT(1-$S$2:S20),6)</f>
        <v>0.222168</v>
      </c>
      <c r="U20" s="2">
        <f>SUM($S$2:S20)</f>
        <v>0.2465</v>
      </c>
      <c r="V20" s="2">
        <v>0.01</v>
      </c>
      <c r="W20" s="2" cm="1">
        <f t="array" ref="W20">ROUND(1-PRODUCT(1-$V$2:V20),6)</f>
        <v>0.077255</v>
      </c>
      <c r="X20" s="2">
        <f>SUM($V$2:V20)</f>
        <v>0.08</v>
      </c>
      <c r="Y20" s="2">
        <v>0</v>
      </c>
      <c r="Z20" s="2" cm="1">
        <f t="array" ref="Z20">ROUND(1-PRODUCT(1-$Y$2:Y20),6)</f>
        <v>0</v>
      </c>
      <c r="AA20" s="2">
        <f>SUM($Y$2:Y20)</f>
        <v>0</v>
      </c>
    </row>
    <row r="21" customHeight="1" spans="1:27">
      <c r="A21" s="4"/>
      <c r="B21" s="2">
        <v>20</v>
      </c>
      <c r="C21" s="2" t="s">
        <v>141</v>
      </c>
      <c r="D21" s="2">
        <v>54</v>
      </c>
      <c r="E21" s="2">
        <v>3984</v>
      </c>
      <c r="F21" s="2">
        <v>500</v>
      </c>
      <c r="G21" s="2">
        <v>609</v>
      </c>
      <c r="H21" s="2">
        <v>607</v>
      </c>
      <c r="I21" s="2">
        <v>182</v>
      </c>
      <c r="J21" s="2" t="s">
        <v>43</v>
      </c>
      <c r="K21" s="6"/>
      <c r="L21" s="2" t="s">
        <v>142</v>
      </c>
      <c r="M21" s="2" t="s">
        <v>143</v>
      </c>
      <c r="N21" s="2" t="s">
        <v>144</v>
      </c>
      <c r="O21" s="2" t="s">
        <v>145</v>
      </c>
      <c r="P21" s="2" t="s">
        <v>146</v>
      </c>
      <c r="Q21" s="2" t="s">
        <v>147</v>
      </c>
      <c r="R21" s="9" t="s">
        <v>148</v>
      </c>
      <c r="S21" s="2">
        <v>0.05</v>
      </c>
      <c r="T21" s="2" cm="1">
        <f t="array" ref="T21">ROUND(1-PRODUCT(1-$S$2:S21),6)</f>
        <v>0.261059</v>
      </c>
      <c r="U21" s="2">
        <f>SUM($S$2:S21)</f>
        <v>0.2965</v>
      </c>
      <c r="V21" s="2">
        <v>0.01</v>
      </c>
      <c r="W21" s="2" cm="1">
        <f t="array" ref="W21">ROUND(1-PRODUCT(1-$V$2:V21),6)</f>
        <v>0.086483</v>
      </c>
      <c r="X21" s="2">
        <f>SUM($V$2:V21)</f>
        <v>0.09</v>
      </c>
      <c r="Y21" s="2">
        <v>0</v>
      </c>
      <c r="Z21" s="2" cm="1">
        <f t="array" ref="Z21">ROUND(1-PRODUCT(1-$Y$2:Y21),6)</f>
        <v>0</v>
      </c>
      <c r="AA21" s="2">
        <f>SUM($Y$2:Y21)</f>
        <v>0</v>
      </c>
    </row>
    <row r="22" customHeight="1" spans="1:27">
      <c r="A22" s="4"/>
      <c r="B22" s="2">
        <v>21</v>
      </c>
      <c r="C22" s="7" t="s">
        <v>103</v>
      </c>
      <c r="D22" s="2">
        <v>69</v>
      </c>
      <c r="E22" s="2">
        <v>4088</v>
      </c>
      <c r="F22" s="2">
        <v>500</v>
      </c>
      <c r="G22" s="2">
        <v>601</v>
      </c>
      <c r="H22" s="2">
        <v>604</v>
      </c>
      <c r="I22" s="2">
        <v>4</v>
      </c>
      <c r="J22" s="2" t="s">
        <v>104</v>
      </c>
      <c r="K22" s="6"/>
      <c r="L22" s="2" t="s">
        <v>149</v>
      </c>
      <c r="M22" s="2" t="s">
        <v>150</v>
      </c>
      <c r="N22" s="2" t="s">
        <v>40</v>
      </c>
      <c r="R22" s="2" t="s">
        <v>58</v>
      </c>
      <c r="S22" s="2">
        <v>0.06</v>
      </c>
      <c r="T22" s="2" cm="1">
        <f t="array" ref="T22">ROUND(1-PRODUCT(1-$S$2:S22),6)</f>
        <v>0.305396</v>
      </c>
      <c r="U22" s="2">
        <f>SUM($S$2:S22)</f>
        <v>0.3565</v>
      </c>
      <c r="V22" s="2">
        <v>0.01</v>
      </c>
      <c r="W22" s="2" cm="1">
        <f t="array" ref="W22">ROUND(1-PRODUCT(1-$V$2:V22),6)</f>
        <v>0.095618</v>
      </c>
      <c r="X22" s="2">
        <f>SUM($V$2:V22)</f>
        <v>0.1</v>
      </c>
      <c r="Y22" s="2">
        <v>0</v>
      </c>
      <c r="Z22" s="2" cm="1">
        <f t="array" ref="Z22">ROUND(1-PRODUCT(1-$Y$2:Y22),6)</f>
        <v>0</v>
      </c>
      <c r="AA22" s="2">
        <f>SUM($Y$2:Y22)</f>
        <v>0</v>
      </c>
    </row>
    <row r="23" customHeight="1" spans="1:27">
      <c r="A23" s="4"/>
      <c r="B23" s="2">
        <v>22</v>
      </c>
      <c r="C23" s="2" t="s">
        <v>151</v>
      </c>
      <c r="D23" s="2">
        <v>89</v>
      </c>
      <c r="E23" s="2">
        <v>2347</v>
      </c>
      <c r="F23" s="2">
        <v>500</v>
      </c>
      <c r="G23" s="2">
        <v>590</v>
      </c>
      <c r="H23" s="2">
        <v>603</v>
      </c>
      <c r="I23" s="2">
        <v>10</v>
      </c>
      <c r="J23" s="2" t="s">
        <v>104</v>
      </c>
      <c r="K23" s="6"/>
      <c r="L23" s="2" t="s">
        <v>152</v>
      </c>
      <c r="M23" s="2" t="s">
        <v>153</v>
      </c>
      <c r="N23" s="2" t="s">
        <v>154</v>
      </c>
      <c r="O23" s="2" t="s">
        <v>155</v>
      </c>
      <c r="P23" s="2" t="s">
        <v>40</v>
      </c>
      <c r="R23" s="2" t="s">
        <v>58</v>
      </c>
      <c r="S23" s="2">
        <v>0.07</v>
      </c>
      <c r="T23" s="2" cm="1">
        <f t="array" ref="T23">ROUND(1-PRODUCT(1-$S$2:S23),6)</f>
        <v>0.354018</v>
      </c>
      <c r="U23" s="2">
        <f>SUM($S$2:S23)</f>
        <v>0.4265</v>
      </c>
      <c r="V23" s="2">
        <v>0.02</v>
      </c>
      <c r="W23" s="2" cm="1">
        <f t="array" ref="W23">ROUND(1-PRODUCT(1-$V$2:V23),6)</f>
        <v>0.113706</v>
      </c>
      <c r="X23" s="2">
        <f>SUM($V$2:V23)</f>
        <v>0.12</v>
      </c>
      <c r="Y23" s="2">
        <v>0.01</v>
      </c>
      <c r="Z23" s="2" cm="1">
        <f t="array" ref="Z23">ROUND(1-PRODUCT(1-$Y$2:Y23),6)</f>
        <v>0.01</v>
      </c>
      <c r="AA23" s="2">
        <f>SUM($Y$2:Y23)</f>
        <v>0.01</v>
      </c>
    </row>
    <row r="24" customHeight="1" spans="1:27">
      <c r="A24" s="4"/>
      <c r="B24" s="2">
        <v>23</v>
      </c>
      <c r="C24" s="4" t="s">
        <v>156</v>
      </c>
      <c r="D24" s="2">
        <v>62</v>
      </c>
      <c r="E24" s="2">
        <v>4419</v>
      </c>
      <c r="F24" s="2">
        <v>500</v>
      </c>
      <c r="G24" s="2">
        <v>607</v>
      </c>
      <c r="H24" s="2">
        <v>604</v>
      </c>
      <c r="I24" s="2">
        <v>36</v>
      </c>
      <c r="J24" s="2" t="s">
        <v>92</v>
      </c>
      <c r="K24" s="6"/>
      <c r="L24" s="2" t="s">
        <v>157</v>
      </c>
      <c r="M24" s="2" t="s">
        <v>158</v>
      </c>
      <c r="N24" s="2" t="s">
        <v>159</v>
      </c>
      <c r="O24" s="2" t="s">
        <v>40</v>
      </c>
      <c r="R24" s="9" t="s">
        <v>160</v>
      </c>
      <c r="S24" s="2">
        <v>0.07</v>
      </c>
      <c r="T24" s="2" cm="1">
        <f t="array" ref="T24">ROUND(1-PRODUCT(1-$S$2:S24),6)</f>
        <v>0.399237</v>
      </c>
      <c r="U24" s="2">
        <f>SUM($S$2:S24)</f>
        <v>0.4965</v>
      </c>
      <c r="V24" s="2">
        <v>0.02</v>
      </c>
      <c r="W24" s="2" cm="1">
        <f t="array" ref="W24">ROUND(1-PRODUCT(1-$V$2:V24),6)</f>
        <v>0.131431</v>
      </c>
      <c r="X24" s="2">
        <f>SUM($V$2:V24)</f>
        <v>0.14</v>
      </c>
      <c r="Y24" s="2">
        <v>0.01</v>
      </c>
      <c r="Z24" s="2" cm="1">
        <f t="array" ref="Z24">ROUND(1-PRODUCT(1-$Y$2:Y24),6)</f>
        <v>0.0199</v>
      </c>
      <c r="AA24" s="2">
        <f>SUM($Y$2:Y24)</f>
        <v>0.02</v>
      </c>
    </row>
    <row r="25" customHeight="1" spans="1:27">
      <c r="A25" s="4"/>
      <c r="B25" s="2">
        <v>24</v>
      </c>
      <c r="C25" s="2" t="s">
        <v>161</v>
      </c>
      <c r="D25" s="2">
        <v>59</v>
      </c>
      <c r="E25" s="2">
        <v>3176</v>
      </c>
      <c r="F25" s="2">
        <v>500</v>
      </c>
      <c r="G25" s="2">
        <v>600</v>
      </c>
      <c r="H25" s="2">
        <v>603</v>
      </c>
      <c r="I25" s="2">
        <v>13</v>
      </c>
      <c r="J25" s="2" t="s">
        <v>75</v>
      </c>
      <c r="K25" s="6"/>
      <c r="L25" s="2" t="s">
        <v>162</v>
      </c>
      <c r="M25" s="2" t="s">
        <v>163</v>
      </c>
      <c r="N25" s="2" t="s">
        <v>164</v>
      </c>
      <c r="O25" s="2" t="s">
        <v>40</v>
      </c>
      <c r="R25" s="10" t="s">
        <v>165</v>
      </c>
      <c r="S25" s="2">
        <v>0.07</v>
      </c>
      <c r="T25" s="2" cm="1">
        <f t="array" ref="T25">ROUND(1-PRODUCT(1-$S$2:S25),6)</f>
        <v>0.44129</v>
      </c>
      <c r="U25" s="2">
        <f>SUM($S$2:S25)</f>
        <v>0.5665</v>
      </c>
      <c r="V25" s="2">
        <v>0.02</v>
      </c>
      <c r="W25" s="2" cm="1">
        <f t="array" ref="W25">ROUND(1-PRODUCT(1-$V$2:V25),6)</f>
        <v>0.148803</v>
      </c>
      <c r="X25" s="2">
        <f>SUM($V$2:V25)</f>
        <v>0.16</v>
      </c>
      <c r="Y25" s="2">
        <v>0.01</v>
      </c>
      <c r="Z25" s="2" cm="1">
        <f t="array" ref="Z25">ROUND(1-PRODUCT(1-$Y$2:Y25),6)</f>
        <v>0.029701</v>
      </c>
      <c r="AA25" s="2">
        <f>SUM($Y$2:Y25)</f>
        <v>0.03</v>
      </c>
    </row>
    <row r="26" customHeight="1" spans="1:27">
      <c r="A26" s="4"/>
      <c r="B26" s="2">
        <v>25</v>
      </c>
      <c r="C26" s="2" t="s">
        <v>166</v>
      </c>
      <c r="D26" s="2">
        <v>101</v>
      </c>
      <c r="E26" s="2">
        <v>2196</v>
      </c>
      <c r="F26" s="2">
        <v>500</v>
      </c>
      <c r="G26" s="2">
        <v>604</v>
      </c>
      <c r="H26" s="2">
        <v>601</v>
      </c>
      <c r="I26" s="2">
        <v>38</v>
      </c>
      <c r="J26" s="2" t="s">
        <v>34</v>
      </c>
      <c r="K26" s="6"/>
      <c r="L26" s="2" t="s">
        <v>167</v>
      </c>
      <c r="M26" s="2" t="s">
        <v>168</v>
      </c>
      <c r="N26" s="2" t="s">
        <v>169</v>
      </c>
      <c r="O26" s="2" t="s">
        <v>170</v>
      </c>
      <c r="P26" s="2" t="s">
        <v>40</v>
      </c>
      <c r="R26" s="4" t="s">
        <v>171</v>
      </c>
      <c r="S26" s="11">
        <v>0.1</v>
      </c>
      <c r="T26" s="2" cm="1">
        <f t="array" ref="T26">ROUND(1-PRODUCT(1-$S$2:S26),6)</f>
        <v>0.497161</v>
      </c>
      <c r="U26" s="2">
        <f>SUM($S$2:S26)</f>
        <v>0.6665</v>
      </c>
      <c r="V26" s="2">
        <v>0.04</v>
      </c>
      <c r="W26" s="2" cm="1">
        <f t="array" ref="W26">ROUND(1-PRODUCT(1-$V$2:V26),6)</f>
        <v>0.182851</v>
      </c>
      <c r="X26" s="2">
        <f>SUM($V$2:V26)</f>
        <v>0.2</v>
      </c>
      <c r="Y26" s="2">
        <v>0.02</v>
      </c>
      <c r="Z26" s="2" cm="1">
        <f t="array" ref="Z26">ROUND(1-PRODUCT(1-$Y$2:Y26),6)</f>
        <v>0.049107</v>
      </c>
      <c r="AA26" s="2">
        <f>SUM($Y$2:Y26)</f>
        <v>0.05</v>
      </c>
    </row>
    <row r="27" customHeight="1" spans="1:27">
      <c r="A27" s="4"/>
      <c r="B27" s="2">
        <v>26</v>
      </c>
      <c r="C27" s="2" t="s">
        <v>172</v>
      </c>
      <c r="D27" s="2">
        <v>82</v>
      </c>
      <c r="E27" s="2">
        <v>4361</v>
      </c>
      <c r="F27" s="2">
        <v>999</v>
      </c>
      <c r="G27" s="2">
        <v>604</v>
      </c>
      <c r="H27" s="2">
        <v>601</v>
      </c>
      <c r="I27" s="2">
        <v>5</v>
      </c>
      <c r="J27" s="2" t="s">
        <v>92</v>
      </c>
      <c r="K27" s="6"/>
      <c r="L27" s="2" t="s">
        <v>173</v>
      </c>
      <c r="M27" s="2" t="s">
        <v>174</v>
      </c>
      <c r="N27" s="2" t="s">
        <v>40</v>
      </c>
      <c r="R27" s="2" t="s">
        <v>58</v>
      </c>
      <c r="S27" s="2">
        <v>0.15</v>
      </c>
      <c r="T27" s="2" cm="1">
        <f t="array" ref="T27">ROUND(1-PRODUCT(1-$S$2:S27),6)</f>
        <v>0.572587</v>
      </c>
      <c r="U27" s="2">
        <f>SUM($S$2:S27)</f>
        <v>0.8165</v>
      </c>
      <c r="V27" s="2">
        <v>0.05</v>
      </c>
      <c r="W27" s="2" cm="1">
        <f t="array" ref="W27">ROUND(1-PRODUCT(1-$V$2:V27),6)</f>
        <v>0.223708</v>
      </c>
      <c r="X27" s="2">
        <f>SUM($V$2:V27)</f>
        <v>0.25</v>
      </c>
      <c r="Y27" s="2">
        <v>0.02</v>
      </c>
      <c r="Z27" s="2" cm="1">
        <f t="array" ref="Z27">ROUND(1-PRODUCT(1-$Y$2:Y27),6)</f>
        <v>0.068125</v>
      </c>
      <c r="AA27" s="2">
        <f>SUM($Y$2:Y27)</f>
        <v>0.07</v>
      </c>
    </row>
    <row r="28" customHeight="1" spans="1:27">
      <c r="A28" s="4"/>
      <c r="B28" s="2">
        <v>27</v>
      </c>
      <c r="C28" s="2" t="s">
        <v>161</v>
      </c>
      <c r="D28" s="2">
        <v>59</v>
      </c>
      <c r="E28" s="2">
        <v>3177</v>
      </c>
      <c r="F28" s="2">
        <v>500</v>
      </c>
      <c r="G28" s="2">
        <v>600</v>
      </c>
      <c r="H28" s="2">
        <v>603</v>
      </c>
      <c r="I28" s="2">
        <v>6</v>
      </c>
      <c r="J28" s="2" t="s">
        <v>75</v>
      </c>
      <c r="K28" s="6"/>
      <c r="L28" s="2" t="s">
        <v>175</v>
      </c>
      <c r="M28" s="2" t="s">
        <v>176</v>
      </c>
      <c r="N28" s="2" t="s">
        <v>40</v>
      </c>
      <c r="R28" s="2" t="s">
        <v>58</v>
      </c>
      <c r="S28" s="2">
        <v>0.16</v>
      </c>
      <c r="T28" s="2" cm="1">
        <f t="array" ref="T28">ROUND(1-PRODUCT(1-$S$2:S28),6)</f>
        <v>0.640973</v>
      </c>
      <c r="U28" s="2">
        <f>SUM($S$2:S28)</f>
        <v>0.9765</v>
      </c>
      <c r="V28" s="2">
        <v>0.08</v>
      </c>
      <c r="W28" s="2" cm="1">
        <f t="array" ref="W28">ROUND(1-PRODUCT(1-$V$2:V28),6)</f>
        <v>0.285812</v>
      </c>
      <c r="X28" s="2">
        <f>SUM($V$2:V28)</f>
        <v>0.33</v>
      </c>
      <c r="Y28" s="2">
        <v>0.04</v>
      </c>
      <c r="Z28" s="2" cm="1">
        <f t="array" ref="Z28">ROUND(1-PRODUCT(1-$Y$2:Y28),6)</f>
        <v>0.1054</v>
      </c>
      <c r="AA28" s="2">
        <f>SUM($Y$2:Y28)</f>
        <v>0.11</v>
      </c>
    </row>
    <row r="29" customHeight="1" spans="1:27">
      <c r="A29" s="4"/>
      <c r="B29" s="2">
        <v>28</v>
      </c>
      <c r="C29" s="4" t="s">
        <v>177</v>
      </c>
      <c r="D29" s="2">
        <v>73</v>
      </c>
      <c r="E29" s="2">
        <v>4424</v>
      </c>
      <c r="F29" s="2">
        <v>999</v>
      </c>
      <c r="G29" s="2">
        <v>596</v>
      </c>
      <c r="H29" s="2">
        <v>601</v>
      </c>
      <c r="I29" s="2">
        <v>2</v>
      </c>
      <c r="J29" s="2" t="s">
        <v>52</v>
      </c>
      <c r="K29" s="6"/>
      <c r="L29" s="2" t="s">
        <v>178</v>
      </c>
      <c r="M29" s="2" t="s">
        <v>40</v>
      </c>
      <c r="R29" s="2" t="s">
        <v>58</v>
      </c>
      <c r="S29" s="2">
        <v>0.18</v>
      </c>
      <c r="T29" s="2" cm="1">
        <f t="array" ref="T29">ROUND(1-PRODUCT(1-$S$2:S29),6)</f>
        <v>0.705598</v>
      </c>
      <c r="U29" s="2">
        <f>SUM($S$2:S29)</f>
        <v>1.1565</v>
      </c>
      <c r="V29" s="2">
        <v>0.09</v>
      </c>
      <c r="W29" s="2" cm="1">
        <f t="array" ref="W29">ROUND(1-PRODUCT(1-$V$2:V29),6)</f>
        <v>0.350088</v>
      </c>
      <c r="X29" s="2">
        <f>SUM($V$2:V29)</f>
        <v>0.42</v>
      </c>
      <c r="Y29" s="2">
        <v>0.04</v>
      </c>
      <c r="Z29" s="2" cm="1">
        <f t="array" ref="Z29">ROUND(1-PRODUCT(1-$Y$2:Y29),6)</f>
        <v>0.141184</v>
      </c>
      <c r="AA29" s="2">
        <f>SUM($Y$2:Y29)</f>
        <v>0.15</v>
      </c>
    </row>
    <row r="30" customHeight="1" spans="1:27">
      <c r="A30" s="4"/>
      <c r="B30" s="2">
        <v>29</v>
      </c>
      <c r="C30" s="2" t="s">
        <v>179</v>
      </c>
      <c r="D30" s="2">
        <v>44</v>
      </c>
      <c r="E30" s="2">
        <v>4328</v>
      </c>
      <c r="F30" s="2">
        <v>500</v>
      </c>
      <c r="G30" s="2">
        <v>592</v>
      </c>
      <c r="H30" s="2">
        <v>600</v>
      </c>
      <c r="I30" s="2">
        <v>29</v>
      </c>
      <c r="J30" s="2" t="s">
        <v>180</v>
      </c>
      <c r="K30" s="6"/>
      <c r="L30" s="2" t="s">
        <v>181</v>
      </c>
      <c r="M30" s="2" t="s">
        <v>182</v>
      </c>
      <c r="N30" s="2" t="s">
        <v>183</v>
      </c>
      <c r="O30" s="2" t="s">
        <v>40</v>
      </c>
      <c r="R30" s="10" t="s">
        <v>184</v>
      </c>
      <c r="S30" s="2">
        <v>0.19</v>
      </c>
      <c r="T30" s="2" cm="1">
        <f t="array" ref="T30">ROUND(1-PRODUCT(1-$S$2:S30),6)</f>
        <v>0.761534</v>
      </c>
      <c r="U30" s="2">
        <f>SUM($S$2:S30)</f>
        <v>1.3465</v>
      </c>
      <c r="V30" s="2">
        <v>0.09</v>
      </c>
      <c r="W30" s="2" cm="1">
        <f t="array" ref="W30">ROUND(1-PRODUCT(1-$V$2:V30),6)</f>
        <v>0.408581</v>
      </c>
      <c r="X30" s="2">
        <f>SUM($V$2:V30)</f>
        <v>0.51</v>
      </c>
      <c r="Y30" s="2">
        <v>0.04</v>
      </c>
      <c r="Z30" s="2" cm="1">
        <f t="array" ref="Z30">ROUND(1-PRODUCT(1-$Y$2:Y30),6)</f>
        <v>0.175536</v>
      </c>
      <c r="AA30" s="2">
        <f>SUM($Y$2:Y30)</f>
        <v>0.19</v>
      </c>
    </row>
    <row r="31" customHeight="1" spans="1:27">
      <c r="A31" s="4"/>
      <c r="B31" s="2">
        <v>30</v>
      </c>
      <c r="C31" s="4" t="s">
        <v>185</v>
      </c>
      <c r="D31" s="2">
        <v>57</v>
      </c>
      <c r="E31" s="2">
        <v>4443</v>
      </c>
      <c r="F31" s="2">
        <v>999</v>
      </c>
      <c r="G31" s="2">
        <v>602</v>
      </c>
      <c r="H31" s="2">
        <v>599</v>
      </c>
      <c r="I31" s="2">
        <v>60</v>
      </c>
      <c r="J31" s="2" t="s">
        <v>43</v>
      </c>
      <c r="K31" s="6"/>
      <c r="L31" s="2" t="s">
        <v>186</v>
      </c>
      <c r="M31" s="2" t="s">
        <v>187</v>
      </c>
      <c r="N31" s="2" t="s">
        <v>188</v>
      </c>
      <c r="O31" s="2" t="s">
        <v>189</v>
      </c>
      <c r="P31" s="2" t="s">
        <v>190</v>
      </c>
      <c r="Q31" s="2" t="s">
        <v>191</v>
      </c>
      <c r="R31" s="4" t="s">
        <v>192</v>
      </c>
      <c r="S31" s="11">
        <v>0.2</v>
      </c>
      <c r="T31" s="2" cm="1">
        <f t="array" ref="T31">ROUND(1-PRODUCT(1-$S$2:S31),6)</f>
        <v>0.809227</v>
      </c>
      <c r="U31" s="2">
        <f>SUM($S$2:S31)</f>
        <v>1.5465</v>
      </c>
      <c r="V31" s="11">
        <v>0.1</v>
      </c>
      <c r="W31" s="2" cm="1">
        <f t="array" ref="W31">ROUND(1-PRODUCT(1-$V$2:V31),6)</f>
        <v>0.467722</v>
      </c>
      <c r="X31" s="2">
        <f>SUM($V$2:V31)</f>
        <v>0.61</v>
      </c>
      <c r="Y31" s="2">
        <v>0.05</v>
      </c>
      <c r="Z31" s="2" cm="1">
        <f t="array" ref="Z31">ROUND(1-PRODUCT(1-$Y$2:Y31),6)</f>
        <v>0.21676</v>
      </c>
      <c r="AA31" s="2">
        <f>SUM($Y$2:Y31)</f>
        <v>0.24</v>
      </c>
    </row>
    <row r="32" customHeight="1" spans="1:27">
      <c r="A32" s="4" t="s">
        <v>193</v>
      </c>
      <c r="B32" s="2">
        <v>31</v>
      </c>
      <c r="C32" s="2" t="s">
        <v>194</v>
      </c>
      <c r="D32" s="2">
        <v>67</v>
      </c>
      <c r="E32" s="2">
        <v>4391</v>
      </c>
      <c r="F32" s="2">
        <v>500</v>
      </c>
      <c r="G32" s="2">
        <v>596</v>
      </c>
      <c r="H32" s="2">
        <v>599</v>
      </c>
      <c r="I32" s="2">
        <v>24</v>
      </c>
      <c r="J32" s="2" t="s">
        <v>195</v>
      </c>
      <c r="K32" s="6"/>
      <c r="L32" s="2" t="s">
        <v>196</v>
      </c>
      <c r="M32" s="2" t="s">
        <v>197</v>
      </c>
      <c r="N32" s="2" t="s">
        <v>198</v>
      </c>
      <c r="O32" s="2" t="s">
        <v>199</v>
      </c>
      <c r="P32" s="2" t="s">
        <v>200</v>
      </c>
      <c r="Q32" s="2" t="s">
        <v>201</v>
      </c>
      <c r="R32" s="10" t="s">
        <v>202</v>
      </c>
      <c r="S32" s="2">
        <v>0.24</v>
      </c>
      <c r="T32" s="2" cm="1">
        <f t="array" ref="T32">ROUND(1-PRODUCT(1-$S$2:S32),6)</f>
        <v>0.855013</v>
      </c>
      <c r="U32" s="2">
        <f>SUM($S$2:S32)</f>
        <v>1.7865</v>
      </c>
      <c r="V32" s="2">
        <v>0.15</v>
      </c>
      <c r="W32" s="2" cm="1">
        <f t="array" ref="W32">ROUND(1-PRODUCT(1-$V$2:V32),6)</f>
        <v>0.547564</v>
      </c>
      <c r="X32" s="2">
        <f>SUM($V$2:V32)</f>
        <v>0.76</v>
      </c>
      <c r="Y32" s="2">
        <v>0.07</v>
      </c>
      <c r="Z32" s="2" cm="1">
        <f t="array" ref="Z32">ROUND(1-PRODUCT(1-$Y$2:Y32),6)</f>
        <v>0.271586</v>
      </c>
      <c r="AA32" s="2">
        <f>SUM($Y$2:Y32)</f>
        <v>0.31</v>
      </c>
    </row>
    <row r="33" customHeight="1" spans="1:27">
      <c r="B33" s="2">
        <v>32</v>
      </c>
      <c r="C33" s="2" t="s">
        <v>203</v>
      </c>
      <c r="D33" s="2">
        <v>83</v>
      </c>
      <c r="E33" s="2">
        <v>2306</v>
      </c>
      <c r="F33" s="2">
        <v>500</v>
      </c>
      <c r="G33" s="2">
        <v>591</v>
      </c>
      <c r="H33" s="2">
        <v>596</v>
      </c>
      <c r="I33" s="2">
        <v>17</v>
      </c>
      <c r="J33" s="2" t="s">
        <v>92</v>
      </c>
      <c r="K33" s="6"/>
      <c r="L33" s="2" t="s">
        <v>204</v>
      </c>
      <c r="M33" s="4" t="s">
        <v>205</v>
      </c>
      <c r="N33" s="2" t="s">
        <v>206</v>
      </c>
      <c r="O33" s="2" t="s">
        <v>207</v>
      </c>
      <c r="P33" s="2" t="s">
        <v>40</v>
      </c>
      <c r="R33" s="2" t="s">
        <v>208</v>
      </c>
      <c r="S33" s="2">
        <v>0.24</v>
      </c>
      <c r="T33" s="2" cm="1">
        <f t="array" ref="T33">ROUND(1-PRODUCT(1-$S$2:S33),6)</f>
        <v>0.88981</v>
      </c>
      <c r="U33" s="2">
        <f>SUM($S$2:S33)</f>
        <v>2.0265</v>
      </c>
      <c r="V33" s="2">
        <v>0.15</v>
      </c>
      <c r="W33" s="2" cm="1">
        <f t="array" ref="W33">ROUND(1-PRODUCT(1-$V$2:V33),6)</f>
        <v>0.615429</v>
      </c>
      <c r="X33" s="2">
        <f>SUM($V$2:V33)</f>
        <v>0.91</v>
      </c>
      <c r="Y33" s="2">
        <v>0.07</v>
      </c>
      <c r="Z33" s="2" cm="1">
        <f t="array" ref="Z33">ROUND(1-PRODUCT(1-$Y$2:Y33),6)</f>
        <v>0.322575</v>
      </c>
      <c r="AA33" s="2">
        <f>SUM($Y$2:Y33)</f>
        <v>0.38</v>
      </c>
    </row>
    <row r="34" customHeight="1" spans="1:27">
      <c r="B34" s="2">
        <v>33</v>
      </c>
      <c r="C34" s="12" t="s">
        <v>203</v>
      </c>
      <c r="D34" s="2">
        <v>83</v>
      </c>
      <c r="E34" s="2">
        <v>2304</v>
      </c>
      <c r="F34" s="2">
        <v>500</v>
      </c>
      <c r="G34" s="2">
        <v>591</v>
      </c>
      <c r="H34" s="2">
        <v>596</v>
      </c>
      <c r="I34" s="2">
        <v>8</v>
      </c>
      <c r="J34" s="2" t="s">
        <v>92</v>
      </c>
      <c r="K34" s="6"/>
      <c r="L34" s="2" t="s">
        <v>209</v>
      </c>
      <c r="M34" s="2" t="s">
        <v>210</v>
      </c>
      <c r="N34" s="2" t="s">
        <v>211</v>
      </c>
      <c r="O34" s="2" t="s">
        <v>212</v>
      </c>
      <c r="P34" s="2" t="s">
        <v>40</v>
      </c>
      <c r="R34" s="2" t="s">
        <v>213</v>
      </c>
      <c r="S34" s="2">
        <v>0.36</v>
      </c>
      <c r="T34" s="2" cm="1">
        <f t="array" ref="T34">ROUND(1-PRODUCT(1-$S$2:S34),6)</f>
        <v>0.929478</v>
      </c>
      <c r="U34" s="2">
        <f>SUM($S$2:S34)</f>
        <v>2.3865</v>
      </c>
      <c r="V34" s="2">
        <v>0.25</v>
      </c>
      <c r="W34" s="2" cm="1">
        <f t="array" ref="W34">ROUND(1-PRODUCT(1-$V$2:V34),6)</f>
        <v>0.711572</v>
      </c>
      <c r="X34" s="2">
        <f>SUM($V$2:V34)</f>
        <v>1.16</v>
      </c>
      <c r="Y34" s="11">
        <v>0.2</v>
      </c>
      <c r="Z34" s="2" cm="1">
        <f t="array" ref="Z34">ROUND(1-PRODUCT(1-$Y$2:Y34),6)</f>
        <v>0.45806</v>
      </c>
      <c r="AA34" s="2">
        <f>SUM($Y$2:Y34)</f>
        <v>0.58</v>
      </c>
    </row>
    <row r="35" customHeight="1" spans="1:27">
      <c r="B35" s="2">
        <v>34</v>
      </c>
      <c r="C35" s="2" t="s">
        <v>161</v>
      </c>
      <c r="D35" s="2">
        <v>59</v>
      </c>
      <c r="E35" s="2">
        <v>3175</v>
      </c>
      <c r="F35" s="2">
        <v>999</v>
      </c>
      <c r="G35" s="2">
        <v>600</v>
      </c>
      <c r="H35" s="2">
        <v>598</v>
      </c>
      <c r="I35" s="2">
        <v>15</v>
      </c>
      <c r="J35" s="2" t="s">
        <v>75</v>
      </c>
      <c r="K35" s="6"/>
      <c r="L35" s="2" t="s">
        <v>214</v>
      </c>
      <c r="M35" s="2" t="s">
        <v>215</v>
      </c>
      <c r="N35" s="2" t="s">
        <v>216</v>
      </c>
      <c r="O35" s="2" t="s">
        <v>217</v>
      </c>
      <c r="P35" s="2" t="s">
        <v>40</v>
      </c>
      <c r="R35" s="10" t="s">
        <v>218</v>
      </c>
      <c r="S35" s="2">
        <v>0.36</v>
      </c>
      <c r="T35" s="2" cm="1">
        <f t="array" ref="T35">ROUND(1-PRODUCT(1-$S$2:S35),6)</f>
        <v>0.954866</v>
      </c>
      <c r="U35" s="2">
        <f>SUM($S$2:S35)</f>
        <v>2.7465</v>
      </c>
      <c r="V35" s="2">
        <v>0.25</v>
      </c>
      <c r="W35" s="2" cm="1">
        <f t="array" ref="W35">ROUND(1-PRODUCT(1-$V$2:V35),6)</f>
        <v>0.783679</v>
      </c>
      <c r="X35" s="2">
        <f>SUM($V$2:V35)</f>
        <v>1.41</v>
      </c>
      <c r="Y35" s="11">
        <v>0.2</v>
      </c>
      <c r="Z35" s="2" cm="1">
        <f t="array" ref="Z35">ROUND(1-PRODUCT(1-$Y$2:Y35),6)</f>
        <v>0.566448</v>
      </c>
      <c r="AA35" s="2">
        <f>SUM($Y$2:Y35)</f>
        <v>0.78</v>
      </c>
    </row>
    <row r="36" customHeight="1" spans="1:27">
      <c r="B36" s="2">
        <v>35</v>
      </c>
      <c r="C36" s="7" t="s">
        <v>103</v>
      </c>
      <c r="D36" s="2">
        <v>69</v>
      </c>
      <c r="E36" s="2">
        <v>4080</v>
      </c>
      <c r="F36" s="2">
        <v>600</v>
      </c>
      <c r="G36" s="2">
        <v>601</v>
      </c>
      <c r="H36" s="2">
        <v>597</v>
      </c>
      <c r="I36" s="2">
        <v>2</v>
      </c>
      <c r="J36" s="2" t="s">
        <v>104</v>
      </c>
      <c r="K36" s="6"/>
      <c r="L36" s="2" t="s">
        <v>219</v>
      </c>
      <c r="M36" s="2" t="s">
        <v>40</v>
      </c>
      <c r="R36" s="2" t="s">
        <v>58</v>
      </c>
      <c r="S36" s="2">
        <v>0.36</v>
      </c>
      <c r="T36" s="2" cm="1">
        <f t="array" ref="T36">ROUND(1-PRODUCT(1-$S$2:S36),6)</f>
        <v>0.971114</v>
      </c>
      <c r="U36" s="2">
        <f>SUM($S$2:S36)</f>
        <v>3.1065</v>
      </c>
      <c r="V36" s="2">
        <v>0.25</v>
      </c>
      <c r="W36" s="2" cm="1">
        <f t="array" ref="W36">ROUND(1-PRODUCT(1-$V$2:V36),6)</f>
        <v>0.837759</v>
      </c>
      <c r="X36" s="2">
        <f>SUM($V$2:V36)</f>
        <v>1.66</v>
      </c>
      <c r="Y36" s="11">
        <v>0.2</v>
      </c>
      <c r="Z36" s="2" cm="1">
        <f t="array" ref="Z36">ROUND(1-PRODUCT(1-$Y$2:Y36),6)</f>
        <v>0.653159</v>
      </c>
      <c r="AA36" s="2">
        <f>SUM($Y$2:Y36)</f>
        <v>0.98</v>
      </c>
    </row>
    <row r="37" customHeight="1" spans="1:27">
      <c r="B37" s="2">
        <v>36</v>
      </c>
      <c r="C37" s="2" t="s">
        <v>220</v>
      </c>
      <c r="D37" s="2">
        <v>61</v>
      </c>
      <c r="E37" s="2">
        <v>4115</v>
      </c>
      <c r="F37" s="2">
        <v>500</v>
      </c>
      <c r="G37" s="2">
        <v>591</v>
      </c>
      <c r="H37" s="2">
        <v>596</v>
      </c>
      <c r="I37" s="2">
        <v>16</v>
      </c>
      <c r="J37" s="2" t="s">
        <v>60</v>
      </c>
      <c r="K37" s="6"/>
      <c r="L37" s="2" t="s">
        <v>221</v>
      </c>
      <c r="M37" s="2" t="s">
        <v>222</v>
      </c>
      <c r="N37" s="2" t="s">
        <v>223</v>
      </c>
      <c r="O37" s="2" t="s">
        <v>224</v>
      </c>
      <c r="P37" s="2" t="s">
        <v>225</v>
      </c>
      <c r="Q37" s="2" t="s">
        <v>40</v>
      </c>
      <c r="R37" s="9" t="s">
        <v>226</v>
      </c>
      <c r="S37" s="2">
        <v>0.38</v>
      </c>
      <c r="T37" s="2" cm="1">
        <f t="array" ref="T37">ROUND(1-PRODUCT(1-$S$2:S37),6)</f>
        <v>0.982091</v>
      </c>
      <c r="U37" s="2">
        <f>SUM($S$2:S37)</f>
        <v>3.4865</v>
      </c>
      <c r="V37" s="2">
        <v>0.27</v>
      </c>
      <c r="W37" s="2" cm="1">
        <f t="array" ref="W37">ROUND(1-PRODUCT(1-$V$2:V37),6)</f>
        <v>0.881564</v>
      </c>
      <c r="X37" s="2">
        <f>SUM($V$2:V37)</f>
        <v>1.93</v>
      </c>
      <c r="Y37" s="2">
        <v>0.21</v>
      </c>
      <c r="Z37" s="2" cm="1">
        <f t="array" ref="Z37">ROUND(1-PRODUCT(1-$Y$2:Y37),6)</f>
        <v>0.725995</v>
      </c>
      <c r="AA37" s="2">
        <f>SUM($Y$2:Y37)</f>
        <v>1.19</v>
      </c>
    </row>
    <row r="38" customHeight="1" spans="1:27">
      <c r="B38" s="2">
        <v>37</v>
      </c>
      <c r="C38" s="2" t="s">
        <v>203</v>
      </c>
      <c r="D38" s="2">
        <v>83</v>
      </c>
      <c r="E38" s="2">
        <v>2304</v>
      </c>
      <c r="F38" s="2">
        <v>999</v>
      </c>
      <c r="G38" s="2">
        <v>591</v>
      </c>
      <c r="H38" s="2">
        <v>594</v>
      </c>
      <c r="I38" s="2">
        <v>2</v>
      </c>
      <c r="J38" s="2" t="s">
        <v>92</v>
      </c>
      <c r="K38" s="6"/>
      <c r="L38" s="2" t="s">
        <v>227</v>
      </c>
      <c r="M38" s="12" t="s">
        <v>40</v>
      </c>
      <c r="N38" s="12"/>
      <c r="O38" s="12"/>
      <c r="P38" s="12"/>
      <c r="Q38" s="12"/>
      <c r="R38" s="10" t="s">
        <v>228</v>
      </c>
      <c r="S38" s="11">
        <v>0.4</v>
      </c>
      <c r="T38" s="2" cm="1">
        <f t="array" ref="T38">ROUND(1-PRODUCT(1-$S$2:S38),6)</f>
        <v>0.989255</v>
      </c>
      <c r="U38" s="2">
        <f>SUM($S$2:S38)</f>
        <v>3.8865</v>
      </c>
      <c r="V38" s="11">
        <v>0.3</v>
      </c>
      <c r="W38" s="2" cm="1">
        <f t="array" ref="W38">ROUND(1-PRODUCT(1-$V$2:V38),6)</f>
        <v>0.917095</v>
      </c>
      <c r="X38" s="2">
        <f>SUM($V$2:V38)</f>
        <v>2.23</v>
      </c>
      <c r="Y38" s="2">
        <v>0.25</v>
      </c>
      <c r="Z38" s="2" cm="1">
        <f t="array" ref="Z38">ROUND(1-PRODUCT(1-$Y$2:Y38),6)</f>
        <v>0.794496</v>
      </c>
      <c r="AA38" s="2">
        <f>SUM($Y$2:Y38)</f>
        <v>1.44</v>
      </c>
    </row>
    <row r="39" customHeight="1" spans="1:27">
      <c r="B39" s="2">
        <v>38</v>
      </c>
      <c r="C39" s="2" t="s">
        <v>179</v>
      </c>
      <c r="D39" s="2">
        <v>44</v>
      </c>
      <c r="E39" s="2">
        <v>4329</v>
      </c>
      <c r="F39" s="2">
        <v>999</v>
      </c>
      <c r="G39" s="2">
        <v>592</v>
      </c>
      <c r="H39" s="2">
        <v>593</v>
      </c>
      <c r="I39" s="2">
        <v>10</v>
      </c>
      <c r="J39" s="2" t="s">
        <v>180</v>
      </c>
      <c r="K39" s="6"/>
      <c r="L39" s="2" t="s">
        <v>229</v>
      </c>
      <c r="M39" s="2" t="s">
        <v>230</v>
      </c>
      <c r="N39" s="2" t="s">
        <v>40</v>
      </c>
      <c r="R39" s="2" t="s">
        <v>58</v>
      </c>
      <c r="S39" s="2">
        <v>0.42</v>
      </c>
      <c r="T39" s="2" cm="1">
        <f t="array" ref="T39">ROUND(1-PRODUCT(1-$S$2:S39),6)</f>
        <v>0.993768</v>
      </c>
      <c r="U39" s="2">
        <f>SUM($S$2:S39)</f>
        <v>4.3065</v>
      </c>
      <c r="V39" s="11">
        <v>0.3</v>
      </c>
      <c r="W39" s="2" cm="1">
        <f t="array" ref="W39">ROUND(1-PRODUCT(1-$V$2:V39),6)</f>
        <v>0.941967</v>
      </c>
      <c r="X39" s="2">
        <f>SUM($V$2:V39)</f>
        <v>2.53</v>
      </c>
      <c r="Y39" s="2">
        <v>0.25</v>
      </c>
      <c r="Z39" s="2" cm="1">
        <f t="array" ref="Z39">ROUND(1-PRODUCT(1-$Y$2:Y39),6)</f>
        <v>0.845872</v>
      </c>
      <c r="AA39" s="2">
        <f>SUM($Y$2:Y39)</f>
        <v>1.69</v>
      </c>
    </row>
    <row r="40" s="1" customFormat="1" customHeight="1" spans="1:27">
      <c r="B40" s="1">
        <v>39</v>
      </c>
      <c r="C40" s="13" t="s">
        <v>129</v>
      </c>
      <c r="D40" s="1">
        <v>84</v>
      </c>
      <c r="E40" s="1">
        <v>3073</v>
      </c>
      <c r="F40" s="1">
        <v>999</v>
      </c>
      <c r="G40" s="1">
        <v>595</v>
      </c>
      <c r="H40" s="1">
        <v>590</v>
      </c>
      <c r="I40" s="1">
        <v>8</v>
      </c>
      <c r="J40" s="1" t="s">
        <v>130</v>
      </c>
      <c r="K40" s="14"/>
      <c r="L40" s="1" t="s">
        <v>231</v>
      </c>
      <c r="M40" s="1" t="s">
        <v>232</v>
      </c>
      <c r="N40" s="1" t="s">
        <v>40</v>
      </c>
      <c r="R40" s="1" t="s">
        <v>233</v>
      </c>
      <c r="S40" s="1">
        <v>0.42</v>
      </c>
      <c r="T40" s="1" cm="1">
        <f t="array" ref="T40">ROUND(1-PRODUCT(1-$S$2:S40),6)</f>
        <v>0.996385</v>
      </c>
      <c r="U40" s="1">
        <f>SUM($S$2:S40)</f>
        <v>4.7265</v>
      </c>
      <c r="V40" s="15">
        <v>0.3</v>
      </c>
      <c r="W40" s="1" cm="1">
        <f t="array" ref="W40">ROUND(1-PRODUCT(1-$V$2:V40),6)</f>
        <v>0.959377</v>
      </c>
      <c r="X40" s="1">
        <f>SUM($V$2:V40)</f>
        <v>2.83</v>
      </c>
      <c r="Y40" s="1">
        <v>0.25</v>
      </c>
      <c r="Z40" s="1" cm="1">
        <f t="array" ref="Z40">ROUND(1-PRODUCT(1-$Y$2:Y40),6)</f>
        <v>0.884404</v>
      </c>
      <c r="AA40" s="1">
        <f>SUM($Y$2:Y40)</f>
        <v>1.94</v>
      </c>
    </row>
    <row r="41" s="1" customFormat="1" customHeight="1" spans="1:27">
      <c r="B41" s="1">
        <v>40</v>
      </c>
      <c r="C41" s="1" t="s">
        <v>234</v>
      </c>
      <c r="D41" s="1">
        <v>77</v>
      </c>
      <c r="E41" s="1">
        <v>1083</v>
      </c>
      <c r="F41" s="1">
        <v>999</v>
      </c>
      <c r="H41" s="1">
        <v>596</v>
      </c>
      <c r="J41" s="1" t="s">
        <v>66</v>
      </c>
      <c r="K41" s="14"/>
      <c r="L41" s="1" t="s">
        <v>235</v>
      </c>
      <c r="M41" s="1" t="s">
        <v>236</v>
      </c>
      <c r="N41" s="1" t="s">
        <v>237</v>
      </c>
      <c r="O41" s="1" t="s">
        <v>238</v>
      </c>
      <c r="P41" s="1" t="s">
        <v>239</v>
      </c>
      <c r="Q41" s="1" t="s">
        <v>240</v>
      </c>
      <c r="S41" s="1">
        <v>0.45</v>
      </c>
      <c r="T41" s="1" cm="1">
        <f t="array" ref="T41">ROUND(1-PRODUCT(1-$S$2:S41),6)</f>
        <v>0.998012</v>
      </c>
      <c r="U41" s="1">
        <f>SUM($S$2:S41)</f>
        <v>5.1765</v>
      </c>
      <c r="V41" s="1">
        <v>0.35</v>
      </c>
      <c r="W41" s="1" cm="1">
        <f t="array" ref="W41">ROUND(1-PRODUCT(1-$V$2:V41),6)</f>
        <v>0.973595</v>
      </c>
      <c r="X41" s="1">
        <f>SUM($V$2:V41)</f>
        <v>3.18</v>
      </c>
      <c r="Y41" s="1">
        <v>0.27</v>
      </c>
      <c r="Z41" s="1" cm="1">
        <f t="array" ref="Z41">ROUND(1-PRODUCT(1-$Y$2:Y41),6)</f>
        <v>0.915615</v>
      </c>
      <c r="AA41" s="1">
        <f>SUM($Y$2:Y41)</f>
        <v>2.21</v>
      </c>
    </row>
    <row r="42" customHeight="1" spans="1:27">
      <c r="A42" s="4" t="s">
        <v>241</v>
      </c>
      <c r="B42" s="2">
        <v>41</v>
      </c>
      <c r="C42" s="2" t="s">
        <v>179</v>
      </c>
      <c r="D42" s="2">
        <v>44</v>
      </c>
      <c r="E42" s="2">
        <v>4328</v>
      </c>
      <c r="F42" s="2">
        <v>999</v>
      </c>
      <c r="G42" s="2">
        <v>592</v>
      </c>
      <c r="H42" s="2">
        <v>587</v>
      </c>
      <c r="I42" s="2">
        <v>17</v>
      </c>
      <c r="J42" s="2" t="s">
        <v>180</v>
      </c>
      <c r="K42" s="6"/>
      <c r="L42" s="2" t="s">
        <v>242</v>
      </c>
      <c r="M42" s="2" t="s">
        <v>243</v>
      </c>
      <c r="N42" s="2" t="s">
        <v>40</v>
      </c>
      <c r="R42" s="10" t="s">
        <v>244</v>
      </c>
      <c r="S42" s="11">
        <v>0.6</v>
      </c>
      <c r="T42" s="2" cm="1">
        <f t="array" ref="T42">ROUND(1-PRODUCT(1-$S$2:S42),6)</f>
        <v>0.999205</v>
      </c>
      <c r="U42" s="2">
        <f>SUM($S$2:S42)</f>
        <v>5.7765</v>
      </c>
      <c r="V42" s="2">
        <v>0.45</v>
      </c>
      <c r="W42" s="2" cm="1">
        <f t="array" ref="W42">ROUND(1-PRODUCT(1-$V$2:V42),6)</f>
        <v>0.985477</v>
      </c>
      <c r="X42" s="2">
        <f>SUM($V$2:V42)</f>
        <v>3.63</v>
      </c>
      <c r="Y42" s="2">
        <v>0.32</v>
      </c>
      <c r="Z42" s="2" cm="1">
        <f t="array" ref="Z42">ROUND(1-PRODUCT(1-$Y$2:Y42),6)</f>
        <v>0.942618</v>
      </c>
      <c r="AA42" s="2">
        <f>SUM($Y$2:Y42)</f>
        <v>2.53</v>
      </c>
    </row>
    <row r="43" customHeight="1" spans="1:27">
      <c r="B43" s="2">
        <v>42</v>
      </c>
      <c r="C43" s="2" t="s">
        <v>245</v>
      </c>
      <c r="D43" s="2">
        <v>97</v>
      </c>
      <c r="E43" s="2">
        <v>3867</v>
      </c>
      <c r="F43" s="2">
        <v>500</v>
      </c>
      <c r="G43" s="2">
        <v>591</v>
      </c>
      <c r="H43" s="2">
        <v>591</v>
      </c>
      <c r="I43" s="2">
        <v>8</v>
      </c>
      <c r="J43" s="2" t="s">
        <v>246</v>
      </c>
      <c r="K43" s="6"/>
      <c r="L43" s="2" t="s">
        <v>247</v>
      </c>
      <c r="M43" s="2" t="s">
        <v>248</v>
      </c>
      <c r="N43" s="2" t="s">
        <v>249</v>
      </c>
      <c r="O43" s="2" t="s">
        <v>40</v>
      </c>
      <c r="R43" s="2" t="s">
        <v>58</v>
      </c>
      <c r="S43" s="11">
        <v>0.6</v>
      </c>
      <c r="T43" s="2" cm="1">
        <f t="array" ref="T43">ROUND(1-PRODUCT(1-$S$2:S43),6)</f>
        <v>0.999682</v>
      </c>
      <c r="U43" s="2">
        <f>SUM($S$2:S43)</f>
        <v>6.3765</v>
      </c>
      <c r="V43" s="2">
        <v>0.45</v>
      </c>
      <c r="W43" s="2" cm="1">
        <f t="array" ref="W43">ROUND(1-PRODUCT(1-$V$2:V43),6)</f>
        <v>0.992012</v>
      </c>
      <c r="X43" s="2">
        <f>SUM($V$2:V43)</f>
        <v>4.08</v>
      </c>
      <c r="Y43" s="2">
        <v>0.32</v>
      </c>
      <c r="Z43" s="2" cm="1">
        <f t="array" ref="Z43">ROUND(1-PRODUCT(1-$Y$2:Y43),6)</f>
        <v>0.96098</v>
      </c>
      <c r="AA43" s="2">
        <f>SUM($Y$2:Y43)</f>
        <v>2.85</v>
      </c>
    </row>
    <row r="44" customHeight="1" spans="1:27">
      <c r="B44" s="2">
        <v>43</v>
      </c>
      <c r="C44" s="12" t="s">
        <v>151</v>
      </c>
      <c r="D44" s="2">
        <v>89</v>
      </c>
      <c r="E44" s="2">
        <v>2346</v>
      </c>
      <c r="F44" s="2">
        <v>999</v>
      </c>
      <c r="G44" s="2">
        <v>590</v>
      </c>
      <c r="H44" s="2">
        <v>585</v>
      </c>
      <c r="I44" s="2">
        <v>14</v>
      </c>
      <c r="J44" s="2" t="s">
        <v>104</v>
      </c>
      <c r="K44" s="6"/>
      <c r="L44" s="2" t="s">
        <v>93</v>
      </c>
      <c r="M44" s="2" t="s">
        <v>250</v>
      </c>
      <c r="N44" s="2" t="s">
        <v>40</v>
      </c>
      <c r="R44" s="2" t="s">
        <v>58</v>
      </c>
      <c r="S44" s="11">
        <v>0.6</v>
      </c>
      <c r="T44" s="2" cm="1">
        <f t="array" ref="T44">ROUND(1-PRODUCT(1-$S$2:S44),6)</f>
        <v>0.999873</v>
      </c>
      <c r="U44" s="2">
        <f>SUM($S$2:S44)</f>
        <v>6.9765</v>
      </c>
      <c r="V44" s="2">
        <v>0.45</v>
      </c>
      <c r="W44" s="2" cm="1">
        <f t="array" ref="W44">ROUND(1-PRODUCT(1-$V$2:V44),6)</f>
        <v>0.995607</v>
      </c>
      <c r="X44" s="2">
        <f>SUM($V$2:V44)</f>
        <v>4.53</v>
      </c>
      <c r="Y44" s="2">
        <v>0.32</v>
      </c>
      <c r="Z44" s="2" cm="1">
        <f t="array" ref="Z44">ROUND(1-PRODUCT(1-$Y$2:Y44),6)</f>
        <v>0.973467</v>
      </c>
      <c r="AA44" s="2">
        <f>SUM($Y$2:Y44)</f>
        <v>3.17</v>
      </c>
    </row>
    <row r="45" customHeight="1" spans="1:27">
      <c r="B45" s="2">
        <v>44</v>
      </c>
      <c r="C45" s="12" t="s">
        <v>251</v>
      </c>
      <c r="D45" s="2">
        <v>107</v>
      </c>
      <c r="E45" s="2">
        <v>2875</v>
      </c>
      <c r="F45" s="2">
        <v>500</v>
      </c>
      <c r="G45" s="2">
        <v>594</v>
      </c>
      <c r="H45" s="2">
        <v>595</v>
      </c>
      <c r="I45" s="2">
        <v>13</v>
      </c>
      <c r="J45" s="2" t="s">
        <v>252</v>
      </c>
      <c r="K45" s="6"/>
      <c r="L45" s="2" t="s">
        <v>253</v>
      </c>
      <c r="M45" s="2" t="s">
        <v>254</v>
      </c>
      <c r="N45" s="2" t="s">
        <v>255</v>
      </c>
      <c r="O45" s="2" t="s">
        <v>40</v>
      </c>
      <c r="R45" s="2" t="s">
        <v>256</v>
      </c>
      <c r="S45" s="2">
        <v>0.82</v>
      </c>
      <c r="T45" s="2" cm="1">
        <f t="array" ref="T45">ROUND(1-PRODUCT(1-$S$2:S45),6)</f>
        <v>0.999977</v>
      </c>
      <c r="U45" s="2">
        <f>SUM($S$2:S45)</f>
        <v>7.7965</v>
      </c>
      <c r="V45" s="11">
        <v>0.7</v>
      </c>
      <c r="W45" s="2" cm="1">
        <f t="array" ref="W45">ROUND(1-PRODUCT(1-$V$2:V45),6)</f>
        <v>0.998682</v>
      </c>
      <c r="X45" s="2">
        <f>SUM($V$2:V45)</f>
        <v>5.23</v>
      </c>
      <c r="Y45" s="11">
        <v>0.65</v>
      </c>
      <c r="Z45" s="2" cm="1">
        <f t="array" ref="Z45">ROUND(1-PRODUCT(1-$Y$2:Y45),6)</f>
        <v>0.990713</v>
      </c>
      <c r="AA45" s="2">
        <f>SUM($Y$2:Y45)</f>
        <v>3.82</v>
      </c>
    </row>
    <row r="46" customHeight="1" spans="1:27">
      <c r="A46" s="4" t="s">
        <v>257</v>
      </c>
      <c r="B46" s="2">
        <v>45</v>
      </c>
      <c r="C46" s="12" t="s">
        <v>258</v>
      </c>
      <c r="D46" s="2">
        <v>113</v>
      </c>
      <c r="E46" s="2">
        <v>2518</v>
      </c>
      <c r="F46" s="2">
        <v>999</v>
      </c>
      <c r="G46" s="2">
        <v>600</v>
      </c>
      <c r="H46" s="2">
        <v>596</v>
      </c>
      <c r="I46" s="2">
        <v>17</v>
      </c>
      <c r="J46" s="2" t="s">
        <v>259</v>
      </c>
      <c r="K46" s="6"/>
      <c r="L46" s="2" t="s">
        <v>260</v>
      </c>
      <c r="M46" s="2" t="s">
        <v>261</v>
      </c>
      <c r="N46" s="2" t="s">
        <v>262</v>
      </c>
      <c r="O46" s="2" t="s">
        <v>263</v>
      </c>
      <c r="P46" s="2" t="s">
        <v>40</v>
      </c>
      <c r="R46" s="2" t="s">
        <v>264</v>
      </c>
      <c r="S46" s="2">
        <v>0.87</v>
      </c>
      <c r="T46" s="2" cm="1">
        <f t="array" ref="T46">ROUND(1-PRODUCT(1-$S$2:S46),6)</f>
        <v>0.999997</v>
      </c>
      <c r="U46" s="2">
        <f>SUM($S$2:S46)</f>
        <v>8.6665</v>
      </c>
      <c r="V46" s="11">
        <v>0.7</v>
      </c>
      <c r="W46" s="2" cm="1">
        <f t="array" ref="W46">ROUND(1-PRODUCT(1-$V$2:V46),6)</f>
        <v>0.999605</v>
      </c>
      <c r="X46" s="2">
        <f>SUM($V$2:V46)</f>
        <v>5.93</v>
      </c>
      <c r="Y46" s="11">
        <v>0.65</v>
      </c>
      <c r="Z46" s="2" cm="1">
        <f t="array" ref="Z46">ROUND(1-PRODUCT(1-$Y$2:Y46),6)</f>
        <v>0.99675</v>
      </c>
      <c r="AA46" s="2">
        <f>SUM($Y$2:Y46)</f>
        <v>4.47</v>
      </c>
    </row>
    <row r="47" customHeight="1" spans="1:27">
      <c r="B47" s="2">
        <v>46</v>
      </c>
      <c r="C47" s="8" t="s">
        <v>265</v>
      </c>
      <c r="D47" s="2">
        <v>80</v>
      </c>
      <c r="E47" s="2">
        <v>2908</v>
      </c>
      <c r="F47" s="2">
        <v>999</v>
      </c>
      <c r="G47" s="2">
        <v>593</v>
      </c>
      <c r="H47" s="2">
        <v>588</v>
      </c>
      <c r="I47" s="2">
        <v>8</v>
      </c>
      <c r="J47" s="2" t="s">
        <v>34</v>
      </c>
      <c r="K47" s="6"/>
      <c r="L47" s="2" t="s">
        <v>266</v>
      </c>
      <c r="M47" s="2" t="s">
        <v>267</v>
      </c>
      <c r="N47" s="2" t="s">
        <v>40</v>
      </c>
      <c r="R47" s="10" t="s">
        <v>268</v>
      </c>
      <c r="S47" s="11">
        <v>0.9</v>
      </c>
      <c r="T47" s="2" cm="1">
        <f t="array" ref="T47">ROUND(1-PRODUCT(1-$S$2:S47),6)</f>
        <v>1</v>
      </c>
      <c r="U47" s="2">
        <f>SUM($S$2:S47)</f>
        <v>9.5665</v>
      </c>
      <c r="V47" s="11">
        <v>0.8</v>
      </c>
      <c r="W47" s="2" cm="1">
        <f t="array" ref="W47">ROUND(1-PRODUCT(1-$V$2:V47),6)</f>
        <v>0.999921</v>
      </c>
      <c r="X47" s="2">
        <f>SUM($V$2:V47)</f>
        <v>6.73</v>
      </c>
      <c r="Y47" s="11">
        <v>0.75</v>
      </c>
      <c r="Z47" s="2" cm="1">
        <f t="array" ref="Z47">ROUND(1-PRODUCT(1-$Y$2:Y47),6)</f>
        <v>0.999187</v>
      </c>
      <c r="AA47" s="2">
        <f>SUM($Y$2:Y47)</f>
        <v>5.22</v>
      </c>
    </row>
    <row r="48" customHeight="1" spans="1:27">
      <c r="B48" s="2">
        <v>47</v>
      </c>
      <c r="C48" s="2" t="s">
        <v>269</v>
      </c>
      <c r="D48" s="2">
        <v>87</v>
      </c>
      <c r="E48" s="2">
        <v>2833</v>
      </c>
      <c r="F48" s="2">
        <v>500</v>
      </c>
      <c r="G48" s="2">
        <v>587</v>
      </c>
      <c r="H48" s="2">
        <v>583</v>
      </c>
      <c r="I48" s="2">
        <v>222</v>
      </c>
      <c r="J48" s="2" t="s">
        <v>270</v>
      </c>
      <c r="K48" s="6"/>
      <c r="L48" s="2" t="s">
        <v>271</v>
      </c>
      <c r="M48" s="2" t="s">
        <v>272</v>
      </c>
      <c r="N48" s="2" t="s">
        <v>273</v>
      </c>
      <c r="O48" s="2" t="s">
        <v>274</v>
      </c>
      <c r="P48" s="2" t="s">
        <v>275</v>
      </c>
      <c r="Q48" s="2" t="s">
        <v>276</v>
      </c>
      <c r="R48" s="9" t="s">
        <v>277</v>
      </c>
      <c r="S48" s="2">
        <v>0.95</v>
      </c>
      <c r="T48" s="2" cm="1">
        <f t="array" ref="T48">ROUND(1-PRODUCT(1-$S$2:S48),6)</f>
        <v>1</v>
      </c>
      <c r="U48" s="2">
        <f>SUM($S$2:S48)</f>
        <v>10.5165</v>
      </c>
      <c r="V48" s="2">
        <v>0.85</v>
      </c>
      <c r="W48" s="2" cm="1">
        <f t="array" ref="W48">ROUND(1-PRODUCT(1-$V$2:V48),6)</f>
        <v>0.999988</v>
      </c>
      <c r="X48" s="2">
        <f>SUM($V$2:V48)</f>
        <v>7.58</v>
      </c>
      <c r="Y48" s="11">
        <v>0.8</v>
      </c>
      <c r="Z48" s="2" cm="1">
        <f t="array" ref="Z48">ROUND(1-PRODUCT(1-$Y$2:Y48),6)</f>
        <v>0.999837</v>
      </c>
      <c r="AA48" s="2">
        <f>SUM($Y$2:Y48)</f>
        <v>6.02</v>
      </c>
    </row>
    <row r="49" customHeight="1" spans="1:27">
      <c r="B49" s="2">
        <v>48</v>
      </c>
      <c r="C49" s="2" t="s">
        <v>278</v>
      </c>
      <c r="D49" s="2">
        <v>125</v>
      </c>
      <c r="E49" s="2">
        <v>3328</v>
      </c>
      <c r="F49" s="2">
        <v>999</v>
      </c>
      <c r="G49" s="2">
        <v>582</v>
      </c>
      <c r="H49" s="2">
        <v>576</v>
      </c>
      <c r="I49" s="2">
        <v>29</v>
      </c>
      <c r="J49" s="2" t="s">
        <v>259</v>
      </c>
      <c r="K49" s="6"/>
      <c r="L49" s="2" t="s">
        <v>279</v>
      </c>
      <c r="M49" s="2" t="s">
        <v>280</v>
      </c>
      <c r="N49" s="2" t="s">
        <v>281</v>
      </c>
      <c r="O49" s="2" t="s">
        <v>282</v>
      </c>
      <c r="P49" s="2" t="s">
        <v>283</v>
      </c>
      <c r="Q49" s="2" t="s">
        <v>284</v>
      </c>
      <c r="R49" s="2" t="s">
        <v>58</v>
      </c>
      <c r="S49" s="2">
        <v>0.99</v>
      </c>
      <c r="T49" s="2" cm="1">
        <f t="array" ref="T49">ROUND(1-PRODUCT(1-$S$2:S49),6)</f>
        <v>1</v>
      </c>
      <c r="U49" s="2">
        <f>SUM($S$2:S49)</f>
        <v>11.5065</v>
      </c>
      <c r="V49" s="2">
        <v>0.95</v>
      </c>
      <c r="W49" s="2" cm="1">
        <f t="array" ref="W49">ROUND(1-PRODUCT(1-$V$2:V49),6)</f>
        <v>0.999999</v>
      </c>
      <c r="X49" s="2">
        <f>SUM($V$2:V49)</f>
        <v>8.53</v>
      </c>
      <c r="Y49" s="11">
        <v>0.9</v>
      </c>
      <c r="Z49" s="2" cm="1">
        <f t="array" ref="Z49">ROUND(1-PRODUCT(1-$Y$2:Y49),6)</f>
        <v>0.999984</v>
      </c>
      <c r="AA49" s="2">
        <f>SUM($Y$2:Y49)</f>
        <v>6.92</v>
      </c>
    </row>
    <row r="50" customHeight="1" spans="1:27">
      <c r="A50" s="4" t="s">
        <v>285</v>
      </c>
      <c r="B50" s="2">
        <v>49</v>
      </c>
      <c r="C50" s="2" t="s">
        <v>286</v>
      </c>
      <c r="D50" s="2">
        <v>115</v>
      </c>
      <c r="E50" s="2">
        <v>2581</v>
      </c>
      <c r="F50" s="2">
        <v>999</v>
      </c>
      <c r="G50" s="2">
        <v>574</v>
      </c>
      <c r="H50" s="2">
        <v>567</v>
      </c>
      <c r="I50" s="2">
        <v>10</v>
      </c>
      <c r="J50" s="2" t="s">
        <v>287</v>
      </c>
      <c r="K50" s="6"/>
      <c r="L50" s="2" t="s">
        <v>288</v>
      </c>
      <c r="M50" s="2" t="s">
        <v>289</v>
      </c>
      <c r="N50" s="2" t="s">
        <v>40</v>
      </c>
      <c r="R50" s="10" t="s">
        <v>290</v>
      </c>
      <c r="S50" s="2">
        <v>0.99</v>
      </c>
      <c r="T50" s="2" cm="1">
        <f t="array" ref="T50">ROUND(1-PRODUCT(1-$S$2:S50),6)</f>
        <v>1</v>
      </c>
      <c r="U50" s="2">
        <f>SUM($S$2:S50)</f>
        <v>12.4965</v>
      </c>
      <c r="V50" s="2">
        <v>0.95</v>
      </c>
      <c r="W50" s="2" cm="1">
        <f t="array" ref="W50">ROUND(1-PRODUCT(1-$V$2:V50),6)</f>
        <v>1</v>
      </c>
      <c r="X50" s="2">
        <f>SUM($V$2:V50)</f>
        <v>9.48</v>
      </c>
      <c r="Y50" s="11">
        <v>0.9</v>
      </c>
      <c r="Z50" s="2" cm="1">
        <f t="array" ref="Z50">ROUND(1-PRODUCT(1-$Y$2:Y50),6)</f>
        <v>0.999998</v>
      </c>
      <c r="AA50" s="2">
        <f>SUM($Y$2:Y50)</f>
        <v>7.82</v>
      </c>
    </row>
    <row r="51" customHeight="1" spans="1:27">
      <c r="B51" s="2">
        <v>50</v>
      </c>
      <c r="C51" s="2" t="s">
        <v>291</v>
      </c>
      <c r="D51" s="2">
        <v>137</v>
      </c>
      <c r="E51" s="2">
        <v>3544</v>
      </c>
      <c r="F51" s="2">
        <v>500</v>
      </c>
      <c r="G51" s="2">
        <v>565</v>
      </c>
      <c r="H51" s="2">
        <v>576</v>
      </c>
      <c r="I51" s="2">
        <v>14</v>
      </c>
      <c r="J51" s="2" t="s">
        <v>292</v>
      </c>
      <c r="K51" s="2" t="s">
        <v>293</v>
      </c>
      <c r="L51" s="2" t="s">
        <v>294</v>
      </c>
      <c r="M51" s="2" t="s">
        <v>295</v>
      </c>
      <c r="N51" s="2" t="s">
        <v>296</v>
      </c>
      <c r="O51" s="2" t="s">
        <v>40</v>
      </c>
      <c r="R51" s="2" t="s">
        <v>58</v>
      </c>
      <c r="S51" s="2">
        <v>0.99</v>
      </c>
      <c r="T51" s="2" cm="1">
        <f t="array" ref="T51">ROUND(1-PRODUCT(1-$S$2:S51),6)</f>
        <v>1</v>
      </c>
      <c r="U51" s="2">
        <f>SUM($S$2:S51)</f>
        <v>13.4865</v>
      </c>
      <c r="V51" s="2">
        <v>0.95</v>
      </c>
      <c r="W51" s="2" cm="1">
        <f t="array" ref="W51">ROUND(1-PRODUCT(1-$V$2:V51),6)</f>
        <v>1</v>
      </c>
      <c r="X51" s="2">
        <f>SUM($V$2:V51)</f>
        <v>10.43</v>
      </c>
      <c r="Y51" s="11">
        <v>0.9</v>
      </c>
      <c r="Z51" s="2" cm="1">
        <f t="array" ref="Z51">ROUND(1-PRODUCT(1-$Y$2:Y51),6)</f>
        <v>1</v>
      </c>
      <c r="AA51" s="2">
        <f>SUM($Y$2:Y51)</f>
        <v>8.72</v>
      </c>
    </row>
    <row r="52" customHeight="1" spans="1:27">
      <c r="C52" s="8"/>
      <c r="R52" s="12"/>
    </row>
    <row r="56" customHeight="1" spans="1:27">
      <c r="L56" s="16" t="s">
        <v>297</v>
      </c>
      <c r="M56" s="16"/>
      <c r="N56" s="16"/>
      <c r="O56" s="16"/>
      <c r="P56" s="16"/>
      <c r="Q56" s="16"/>
      <c r="R56" s="16"/>
      <c r="S56" s="16"/>
      <c r="T56" s="16"/>
    </row>
    <row r="57" customHeight="1" spans="1:27">
      <c r="L57" s="17" t="s">
        <v>298</v>
      </c>
      <c r="M57" s="17"/>
      <c r="N57" s="17"/>
      <c r="O57" s="17"/>
      <c r="P57" s="17"/>
      <c r="Q57" s="17"/>
      <c r="R57" s="17"/>
      <c r="S57" s="17"/>
      <c r="T57" s="17"/>
    </row>
  </sheetData>
  <mergeCells count="47">
    <mergeCell ref="L1:Q1"/>
    <mergeCell ref="N6:Q6"/>
    <mergeCell ref="O8:Q8"/>
    <mergeCell ref="O9:Q9"/>
    <mergeCell ref="O10:Q10"/>
    <mergeCell ref="M12:Q12"/>
    <mergeCell ref="O13:Q13"/>
    <mergeCell ref="P14:Q14"/>
    <mergeCell ref="M16:Q16"/>
    <mergeCell ref="M17:Q17"/>
    <mergeCell ref="O18:Q18"/>
    <mergeCell ref="O19:Q19"/>
    <mergeCell ref="O20:Q20"/>
    <mergeCell ref="N22:Q22"/>
    <mergeCell ref="P23:Q23"/>
    <mergeCell ref="O24:Q24"/>
    <mergeCell ref="O25:Q25"/>
    <mergeCell ref="P26:Q26"/>
    <mergeCell ref="N27:Q27"/>
    <mergeCell ref="N28:Q28"/>
    <mergeCell ref="M29:Q29"/>
    <mergeCell ref="O30:Q30"/>
    <mergeCell ref="P33:Q33"/>
    <mergeCell ref="P34:Q34"/>
    <mergeCell ref="P35:Q35"/>
    <mergeCell ref="M36:Q36"/>
    <mergeCell ref="M38:Q38"/>
    <mergeCell ref="N39:Q39"/>
    <mergeCell ref="N40:Q40"/>
    <mergeCell ref="N42:Q42"/>
    <mergeCell ref="O43:Q43"/>
    <mergeCell ref="N44:Q44"/>
    <mergeCell ref="O45:Q45"/>
    <mergeCell ref="P46:Q46"/>
    <mergeCell ref="N47:Q47"/>
    <mergeCell ref="N50:Q50"/>
    <mergeCell ref="O51:Q51"/>
    <mergeCell ref="L56:T56"/>
    <mergeCell ref="L57:T57"/>
    <mergeCell ref="A2:A6"/>
    <mergeCell ref="A7:A16"/>
    <mergeCell ref="A17:A31"/>
    <mergeCell ref="A32:A41"/>
    <mergeCell ref="A42:A45"/>
    <mergeCell ref="A46:A49"/>
    <mergeCell ref="A50:A51"/>
    <mergeCell ref="K2:K50"/>
  </mergeCells>
  <pageMargins left="0.75" right="0.75" top="1" bottom="1" header="0.5" footer="0.5"/>
  <headerFooter/>
  <ignoredErrors>
    <ignoredError sqref="C48:C51 R47:AA47 K48:AA48 C1 C3:C4 C6:C18 C20 A1:B51 T21:AA21 S19:AA19 P19:Q19 K16:K47 S5:AA5 K5 S2:AA2 K2 K1:AA1 K3:AA4 K15:AA15 M16:AA17 O18:AA18 P14:AA14 K12:K14 O13:AA13 M12:AA12 K6:AA11 O20:AA20 S22:AA46 K49:M49 P49:AA49 K50:AA51 E48:H51 E1:H1 E3:H4 E6:H18 E20:H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51403</dc:creator>
  <cp:lastModifiedBy>轩轩暖暖轩裕阮（昏昏欲睡）</cp:lastModifiedBy>
  <dcterms:created xsi:type="dcterms:W3CDTF">2026-06-27T09:22:00Z</dcterms:created>
  <dcterms:modified xsi:type="dcterms:W3CDTF">2026-10-28T16:07:35Z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A8B44E751023489ABBA17D016FF7C218_13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